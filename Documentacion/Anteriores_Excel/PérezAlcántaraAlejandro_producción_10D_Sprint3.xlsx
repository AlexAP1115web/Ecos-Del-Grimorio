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Plan" sheetId="1" state="visible" r:id="rId3"/>
    <sheet name="Sprint Backlog" sheetId="2" state="visible" r:id="rId4"/>
    <sheet name="Daily Huddle" sheetId="3" state="visible" r:id="rId5"/>
    <sheet name="Burn-down Chart" sheetId="4" state="visible" r:id="rId6"/>
    <sheet name="Task Chart" sheetId="5" state="visible" r:id="rId7"/>
    <sheet name="Buglist" sheetId="6" state="visible" r:id="rId8"/>
    <sheet name="Pruebas Beta" sheetId="7" state="visible" r:id="rId9"/>
    <sheet name="Gantt" sheetId="8" state="visible" r:id="rId10"/>
    <sheet name="Sprint Review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<sst xmlns="http://schemas.openxmlformats.org/spreadsheetml/2006/main" count="286" uniqueCount="190">
  <si>
    <t xml:space="preserve">SPRINT PLAN - ECOS DEL GRIMORIO (al inicio del Sprint 3)</t>
  </si>
  <si>
    <t xml:space="preserve">El Sprint 2 se marca como terminado al entregar el Producto 2. Las tareas que quedaron pendientes pasan al backlog de este sprint.</t>
  </si>
  <si>
    <t xml:space="preserve">Sprintid</t>
  </si>
  <si>
    <t xml:space="preserve">Inicio</t>
  </si>
  <si>
    <t xml:space="preserve">Días</t>
  </si>
  <si>
    <t xml:space="preserve">Fin</t>
  </si>
  <si>
    <t xml:space="preserve">Estado</t>
  </si>
  <si>
    <t xml:space="preserve">Meta</t>
  </si>
  <si>
    <t xml:space="preserve">Entrega</t>
  </si>
  <si>
    <t xml:space="preserve">Terminado</t>
  </si>
  <si>
    <t xml:space="preserve">Preproducción y arte: GDD, bocetos, arte conceptual de personajes, enemigos, fondos, ítems y UI.</t>
  </si>
  <si>
    <t xml:space="preserve">Producto 1 (18 sep)</t>
  </si>
  <si>
    <t xml:space="preserve">Juego completo jugable en Unity: 5 alas, 4 guardianes y jefe final, logros, Modo Archimaga, opciones, resultados, música y voces. Pruebas Alfa.</t>
  </si>
  <si>
    <t xml:space="preserve">Producto 2 (30 oct)</t>
  </si>
  <si>
    <t xml:space="preserve">En desarrollo</t>
  </si>
  <si>
    <t xml:space="preserve">Pruebas Beta (cerradas y abiertas), balance de dificultad, corrección de bugs y borrador del Postmortem.</t>
  </si>
  <si>
    <t xml:space="preserve">Producto 3 (20 nov)</t>
  </si>
  <si>
    <t xml:space="preserve">Planeado</t>
  </si>
  <si>
    <t xml:space="preserve">Gold Master: build final, Postmortem completo y entrega.</t>
  </si>
  <si>
    <t xml:space="preserve">Gold Master (30 nov)</t>
  </si>
  <si>
    <t xml:space="preserve">SPRINT BACKLOG - SPRINT 3 (31 oct - 20 nov, 2026)</t>
  </si>
  <si>
    <t xml:space="preserve">T50 a T52 se adelantaron el 20 de octubre, antes de que empezara el sprint. Al terminar una tarea se cambia el Estado y se escribe la fecha en Fin; las gráficas se actualizan solas.</t>
  </si>
  <si>
    <t xml:space="preserve">TaskID</t>
  </si>
  <si>
    <t xml:space="preserve">Featureid</t>
  </si>
  <si>
    <t xml:space="preserve">Nombre de la tarea</t>
  </si>
  <si>
    <t xml:space="preserve">Miembro</t>
  </si>
  <si>
    <t xml:space="preserve">Rol</t>
  </si>
  <si>
    <t xml:space="preserve">Esfuerzo (hrs)</t>
  </si>
  <si>
    <t xml:space="preserve">T50</t>
  </si>
  <si>
    <t xml:space="preserve">Preparar el .exe 1.0, el formato de Pruebas Beta y la carpeta para compartir</t>
  </si>
  <si>
    <t xml:space="preserve">Alejandro Pérez Alcántara</t>
  </si>
  <si>
    <t xml:space="preserve">Programador</t>
  </si>
  <si>
    <t xml:space="preserve">T51</t>
  </si>
  <si>
    <t xml:space="preserve">Diagrama de Gantt del proyecto completo</t>
  </si>
  <si>
    <t xml:space="preserve">T52</t>
  </si>
  <si>
    <t xml:space="preserve">Borrador del Postmortem con lo que se sabe hasta ahora</t>
  </si>
  <si>
    <t xml:space="preserve">T53</t>
  </si>
  <si>
    <t xml:space="preserve">Probar el .exe en otra computadora (pendiente del Sprint 2, T33)</t>
  </si>
  <si>
    <t xml:space="preserve">T54</t>
  </si>
  <si>
    <t xml:space="preserve">Terminar las pruebas Alfa pendientes (PA-09, 10, 11, 13, 14, 16 y 17)</t>
  </si>
  <si>
    <t xml:space="preserve">T55</t>
  </si>
  <si>
    <t xml:space="preserve">Pruebas Beta cerradas: 3 compañeros del grupo con el formato impreso</t>
  </si>
  <si>
    <t xml:space="preserve">T56</t>
  </si>
  <si>
    <t xml:space="preserve">Pruebas Beta abiertas: compartir el .zip con más personas</t>
  </si>
  <si>
    <t xml:space="preserve">T57</t>
  </si>
  <si>
    <t xml:space="preserve">Capturar los formatos en la hoja Pruebas Beta</t>
  </si>
  <si>
    <t xml:space="preserve">T58</t>
  </si>
  <si>
    <t xml:space="preserve">Pasar los errores de las pruebas al Buglist y darles severidad</t>
  </si>
  <si>
    <t xml:space="preserve">T59</t>
  </si>
  <si>
    <t xml:space="preserve">Corregir los bugs de severidad Alta y Media</t>
  </si>
  <si>
    <t xml:space="preserve">T60</t>
  </si>
  <si>
    <t xml:space="preserve">Balance de dificultad (vida y daño de enemigos y guardianes) según las pruebas</t>
  </si>
  <si>
    <t xml:space="preserve">T61</t>
  </si>
  <si>
    <t xml:space="preserve">Pruebas de regresión de las cinco alas con el .exe nuevo</t>
  </si>
  <si>
    <t xml:space="preserve">T62</t>
  </si>
  <si>
    <t xml:space="preserve">Compilar la versión corregida después de las pruebas Beta</t>
  </si>
  <si>
    <t xml:space="preserve">T63</t>
  </si>
  <si>
    <t xml:space="preserve">Actualizar el manual y el documento del Producto 3</t>
  </si>
  <si>
    <t xml:space="preserve">T64</t>
  </si>
  <si>
    <t xml:space="preserve">Completar el Postmortem con los resultados de las pruebas Beta</t>
  </si>
  <si>
    <t xml:space="preserve">T65</t>
  </si>
  <si>
    <t xml:space="preserve">Sprint Review del Sprint 3</t>
  </si>
  <si>
    <t xml:space="preserve">Total horas:</t>
  </si>
  <si>
    <t xml:space="preserve">Terminadas:</t>
  </si>
  <si>
    <t xml:space="preserve">Avance:</t>
  </si>
  <si>
    <t xml:space="preserve">DAILY HUDDLE - SPRINT 3</t>
  </si>
  <si>
    <t xml:space="preserve">Se llena al iniciar cada sesión de trabajo. Las fechas son las sesiones planeadas; se pueden cambiar.</t>
  </si>
  <si>
    <t xml:space="preserve">Fecha</t>
  </si>
  <si>
    <t xml:space="preserve">¿Qué hice desde el último Huddle?</t>
  </si>
  <si>
    <t xml:space="preserve">¿Qué haré hoy?</t>
  </si>
  <si>
    <t xml:space="preserve">Impedimentos</t>
  </si>
  <si>
    <t xml:space="preserve">Saltar nivel, versión 1.0 del .exe y manual actualizado (cierre del Sprint 2).</t>
  </si>
  <si>
    <t xml:space="preserve">Preparar el Sprint 3: backlog, Gantt, borrador del Postmortem y hoja de Pruebas Beta.</t>
  </si>
  <si>
    <t xml:space="preserve">Todavía no hay formatos de Pruebas Beta llenos.</t>
  </si>
  <si>
    <t xml:space="preserve">BURN-DOWN CHART - SPRINT 3 (horas restantes)</t>
  </si>
  <si>
    <t xml:space="preserve">Ideal: línea recta del total de horas a cero. Real: horas de las tareas sin terminar a esa fecha (se llena sola con la columna Fin del backlog).</t>
  </si>
  <si>
    <t xml:space="preserve">Ideal (hrs)</t>
  </si>
  <si>
    <t xml:space="preserve">Real (hrs)</t>
  </si>
  <si>
    <t xml:space="preserve">Tareas restantes</t>
  </si>
  <si>
    <t xml:space="preserve">TASK CHART - SPRINT 3 (tareas restantes)</t>
  </si>
  <si>
    <t xml:space="preserve">Toma las tareas restantes de la hoja Burn-down Chart.</t>
  </si>
  <si>
    <t xml:space="preserve">Terminadas</t>
  </si>
  <si>
    <t xml:space="preserve">BUGLIST - SPRINT 3 (pruebas Beta)</t>
  </si>
  <si>
    <t xml:space="preserve">Continúa la numeración del Sprint 2 (B-001 a B-018). Autor = quien encontró el error (compañero o yo).</t>
  </si>
  <si>
    <t xml:space="preserve">BugID</t>
  </si>
  <si>
    <t xml:space="preserve">Descripción</t>
  </si>
  <si>
    <t xml:space="preserve">Descripción técnica</t>
  </si>
  <si>
    <t xml:space="preserve">Autor</t>
  </si>
  <si>
    <t xml:space="preserve">Reportado</t>
  </si>
  <si>
    <t xml:space="preserve">Severidad</t>
  </si>
  <si>
    <t xml:space="preserve">B-014</t>
  </si>
  <si>
    <t xml:space="preserve">No se podía abrir el pasadizo de la Página Perdida del Ala de Viento.</t>
  </si>
  <si>
    <t xml:space="preserve">Viene del Sprint 2. La caja tiene más espacio, regresa a su lugar si se cae y las puertas dan una pista. Falta confirmarlo en las pruebas.</t>
  </si>
  <si>
    <t xml:space="preserve">Por verificar</t>
  </si>
  <si>
    <t xml:space="preserve">Media</t>
  </si>
  <si>
    <t xml:space="preserve">B-019</t>
  </si>
  <si>
    <t xml:space="preserve">B-020</t>
  </si>
  <si>
    <t xml:space="preserve">B-021</t>
  </si>
  <si>
    <t xml:space="preserve">B-022</t>
  </si>
  <si>
    <t xml:space="preserve">B-023</t>
  </si>
  <si>
    <t xml:space="preserve">B-024</t>
  </si>
  <si>
    <t xml:space="preserve">B-025</t>
  </si>
  <si>
    <t xml:space="preserve">B-026</t>
  </si>
  <si>
    <t xml:space="preserve">B-027</t>
  </si>
  <si>
    <t xml:space="preserve">B-028</t>
  </si>
  <si>
    <t xml:space="preserve">B-029</t>
  </si>
  <si>
    <t xml:space="preserve">B-030</t>
  </si>
  <si>
    <t xml:space="preserve">B-031</t>
  </si>
  <si>
    <t xml:space="preserve">B-032</t>
  </si>
  <si>
    <t xml:space="preserve">B-033</t>
  </si>
  <si>
    <t xml:space="preserve">Corregidos:</t>
  </si>
  <si>
    <t xml:space="preserve">PRUEBAS BETA - SPRINT 3 (31 oct - 20 nov, 2026)</t>
  </si>
  <si>
    <t xml:space="preserve">Una fila por cada persona que prueba el juego, copiada de su formato de Pruebas Beta. Calificaciones del 1 (malo) al 5 (excelente). Los errores nuevos se pasan al Buglist con su BugID.</t>
  </si>
  <si>
    <t xml:space="preserve">ID</t>
  </si>
  <si>
    <t xml:space="preserve">Jugador(a)</t>
  </si>
  <si>
    <t xml:space="preserve">Tipo</t>
  </si>
  <si>
    <t xml:space="preserve">Jugó con</t>
  </si>
  <si>
    <t xml:space="preserve">Ala a la que llegó</t>
  </si>
  <si>
    <t xml:space="preserve">Minutos jugados</t>
  </si>
  <si>
    <t xml:space="preserve">Diversión (1-5)</t>
  </si>
  <si>
    <t xml:space="preserve">Controles claros (1-5)</t>
  </si>
  <si>
    <t xml:space="preserve">Dificultad (1-5)</t>
  </si>
  <si>
    <t xml:space="preserve">Lo que más le gustó</t>
  </si>
  <si>
    <t xml:space="preserve">Lo que no entendió</t>
  </si>
  <si>
    <t xml:space="preserve">Errores (BugID)</t>
  </si>
  <si>
    <t xml:space="preserve">PB-01</t>
  </si>
  <si>
    <t xml:space="preserve">PB-02</t>
  </si>
  <si>
    <t xml:space="preserve">PB-03</t>
  </si>
  <si>
    <t xml:space="preserve">PB-04</t>
  </si>
  <si>
    <t xml:space="preserve">PB-05</t>
  </si>
  <si>
    <t xml:space="preserve">PB-06</t>
  </si>
  <si>
    <t xml:space="preserve">PB-07</t>
  </si>
  <si>
    <t xml:space="preserve">PB-08</t>
  </si>
  <si>
    <t xml:space="preserve">PB-09</t>
  </si>
  <si>
    <t xml:space="preserve">PB-10</t>
  </si>
  <si>
    <t xml:space="preserve">PB-11</t>
  </si>
  <si>
    <t xml:space="preserve">PB-12</t>
  </si>
  <si>
    <t xml:space="preserve">PB-13</t>
  </si>
  <si>
    <t xml:space="preserve">PB-14</t>
  </si>
  <si>
    <t xml:space="preserve">PB-15</t>
  </si>
  <si>
    <t xml:space="preserve">Personas que probaron:</t>
  </si>
  <si>
    <t xml:space="preserve">Promedio diversión:</t>
  </si>
  <si>
    <t xml:space="preserve">Promedio controles:</t>
  </si>
  <si>
    <t xml:space="preserve">Promedio dificultad:</t>
  </si>
  <si>
    <t xml:space="preserve">Terminaron el juego:</t>
  </si>
  <si>
    <t xml:space="preserve">DIAGRAMA DE GANTT - ECOS DEL GRIMORIO (1 sep - 30 nov, 2026)</t>
  </si>
  <si>
    <t xml:space="preserve">Cada columna es una semana (empieza en lunes). La barra se pinta sola con las fechas de Inicio y Fin: verde = terminado, amarillo = en desarrollo, gris = planeado. Una entrega de un solo día es un hito.</t>
  </si>
  <si>
    <t xml:space="preserve">ago</t>
  </si>
  <si>
    <t xml:space="preserve">sep</t>
  </si>
  <si>
    <t xml:space="preserve">oct</t>
  </si>
  <si>
    <t xml:space="preserve">nov</t>
  </si>
  <si>
    <t xml:space="preserve">Sprint</t>
  </si>
  <si>
    <t xml:space="preserve">Actividad</t>
  </si>
  <si>
    <t xml:space="preserve">Sprint 1</t>
  </si>
  <si>
    <t xml:space="preserve">Documento de diseño (GDD)</t>
  </si>
  <si>
    <t xml:space="preserve">Bocetos y arte conceptual</t>
  </si>
  <si>
    <t xml:space="preserve">Entrega del Producto 1</t>
  </si>
  <si>
    <t xml:space="preserve">Sprint 2</t>
  </si>
  <si>
    <t xml:space="preserve">Importar arte y código base</t>
  </si>
  <si>
    <t xml:space="preserve">Herramienta CrearJuego, cinco alas y guardianes</t>
  </si>
  <si>
    <t xml:space="preserve">Audio, interfaz, historia, secretos y acertijos</t>
  </si>
  <si>
    <t xml:space="preserve">Correcciones, .exe, manual y documento del Producto 2</t>
  </si>
  <si>
    <t xml:space="preserve">Pruebas Alfa</t>
  </si>
  <si>
    <t xml:space="preserve">Mejoras por las pruebas (apuntar, aves, secretos, sonidos, saltar nivel, fondos)</t>
  </si>
  <si>
    <t xml:space="preserve">Versión web para celular (GitHub Pages)</t>
  </si>
  <si>
    <t xml:space="preserve">Entrega del Producto 2</t>
  </si>
  <si>
    <t xml:space="preserve">Sprint 3</t>
  </si>
  <si>
    <t xml:space="preserve">Pruebas Beta cerradas</t>
  </si>
  <si>
    <t xml:space="preserve">Pruebas Beta abiertas</t>
  </si>
  <si>
    <t xml:space="preserve">Corrección de bugs y balance</t>
  </si>
  <si>
    <t xml:space="preserve">Borrador del Postmortem</t>
  </si>
  <si>
    <t xml:space="preserve">Entrega del Producto 3</t>
  </si>
  <si>
    <t xml:space="preserve">Sprint 4</t>
  </si>
  <si>
    <t xml:space="preserve">Build final (Gold Master)</t>
  </si>
  <si>
    <t xml:space="preserve">Postmortem completo</t>
  </si>
  <si>
    <t xml:space="preserve">Entrega Gold Master</t>
  </si>
  <si>
    <t xml:space="preserve">La semana actual se marca en rojo en la fila de fechas.</t>
  </si>
  <si>
    <t xml:space="preserve">SPRINT REVIEW - SPRINT 3 (se llena al cierre, 20 de noviembre de 2026)</t>
  </si>
  <si>
    <t xml:space="preserve">Meta del sprint</t>
  </si>
  <si>
    <t xml:space="preserve">Probar el juego con otras personas (Beta cerrada y abierta), corregir lo que encuentren, balancear la dificultad y tener el borrador del Postmortem.</t>
  </si>
  <si>
    <t xml:space="preserve">Tareas terminadas</t>
  </si>
  <si>
    <t xml:space="preserve">Horas terminadas</t>
  </si>
  <si>
    <t xml:space="preserve">Personas que probaron</t>
  </si>
  <si>
    <t xml:space="preserve">Bugs corregidos</t>
  </si>
  <si>
    <t xml:space="preserve">Demostración</t>
  </si>
  <si>
    <t xml:space="preserve">¿Qué salió bien?</t>
  </si>
  <si>
    <t xml:space="preserve">¿Qué salió mal?</t>
  </si>
  <si>
    <t xml:space="preserve">Ajustes para el Sprint 4</t>
  </si>
  <si>
    <t xml:space="preserve">Fecha de cierre</t>
  </si>
  <si>
    <t xml:space="preserve">20 de noviembre de 2026 (entrega del Producto 3)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</si>
</sst>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0"/>
    <numFmt numFmtId="167" formatCode="0%"/>
    <numFmt numFmtId="168" formatCode="dd/mm"/>
    <numFmt numFmtId="169" formatCode="General"/>
    <numFmt numFmtId="170" formatCode="dd"/>
    <numFmt numFmtId="171" formatCode="dd/mm/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A7EB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8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0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2F2F2"/>
        </patternFill>
      </fill>
    </dxf>
    <dxf>
      <fill>
        <patternFill>
          <bgColor rgb="FFFCE4D6"/>
        </patternFill>
      </fill>
    </dxf>
    <dxf>
      <font>
        <color rgb="FFFFFFFF"/>
      </font>
    </dxf>
    <dxf>
      <fill>
        <patternFill>
          <bgColor rgb="FF70AD47"/>
        </patternFill>
      </fill>
    </dxf>
    <dxf>
      <fill>
        <patternFill>
          <bgColor rgb="FFFFC000"/>
        </patternFill>
      </fill>
    </dxf>
    <dxf>
      <fill>
        <patternFill>
          <bgColor rgb="FFA6A6A6"/>
        </patternFill>
      </fill>
    </dxf>
    <dxf>
      <fill>
        <patternFill>
          <bgColor rgb="FFC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70AD47"/>
      <rgbColor rgb="FFFFC000"/>
      <rgbColor rgb="FFFF9900"/>
      <rgbColor rgb="FFFF6600"/>
      <rgbColor rgb="FF595959"/>
      <rgbColor rgb="FFA6A6A6"/>
      <rgbColor rgb="FF003366"/>
      <rgbColor rgb="FF4A7EB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Burn-down Chart - Sprint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'Burn-down Chart'!B3</c:f>
              <c:strCache>
                <c:ptCount val="1"/>
                <c:pt idx="0">
                  <c:v>Ideal (hrs)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'Burn-down Chart'!$A$4:$A$13</c:f>
              <c:strCache>
                <c:ptCount val="10"/>
                <c:pt idx="0">
                  <c:v>31/10</c:v>
                </c:pt>
                <c:pt idx="1">
                  <c:v>03/11</c:v>
                </c:pt>
                <c:pt idx="2">
                  <c:v>05/11</c:v>
                </c:pt>
                <c:pt idx="3">
                  <c:v>07/11</c:v>
                </c:pt>
                <c:pt idx="4">
                  <c:v>10/11</c:v>
                </c:pt>
                <c:pt idx="5">
                  <c:v>12/11</c:v>
                </c:pt>
                <c:pt idx="6">
                  <c:v>14/11</c:v>
                </c:pt>
                <c:pt idx="7">
                  <c:v>17/11</c:v>
                </c:pt>
                <c:pt idx="8">
                  <c:v>19/11</c:v>
                </c:pt>
                <c:pt idx="9">
                  <c:v>20/11</c:v>
                </c:pt>
              </c:strCache>
            </c:strRef>
          </c:cat>
          <c:val>
            <c:numRef>
              <c:f>'Burn-down Chart'!$B$4:$B$13</c:f>
              <c:numCache>
                <c:formatCode>General</c:formatCode>
                <c:ptCount val="10"/>
                <c:pt idx="0">
                  <c:v>43</c:v>
                </c:pt>
                <c:pt idx="1">
                  <c:v>36.6</c:v>
                </c:pt>
                <c:pt idx="2">
                  <c:v>32.3</c:v>
                </c:pt>
                <c:pt idx="3">
                  <c:v>28</c:v>
                </c:pt>
                <c:pt idx="4">
                  <c:v>21.5</c:v>
                </c:pt>
                <c:pt idx="5">
                  <c:v>17.2</c:v>
                </c:pt>
                <c:pt idx="6">
                  <c:v>12.9</c:v>
                </c:pt>
                <c:pt idx="7">
                  <c:v>6.5</c:v>
                </c:pt>
                <c:pt idx="8">
                  <c:v>2.2</c:v>
                </c:pt>
                <c:pt idx="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'Burn-down Chart'!C3</c:f>
              <c:strCache>
                <c:ptCount val="1"/>
                <c:pt idx="0">
                  <c:v>Real (hrs)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'Burn-down Chart'!$A$4:$A$13</c:f>
              <c:strCache>
                <c:ptCount val="10"/>
                <c:pt idx="0">
                  <c:v>31/10</c:v>
                </c:pt>
                <c:pt idx="1">
                  <c:v>03/11</c:v>
                </c:pt>
                <c:pt idx="2">
                  <c:v>05/11</c:v>
                </c:pt>
                <c:pt idx="3">
                  <c:v>07/11</c:v>
                </c:pt>
                <c:pt idx="4">
                  <c:v>10/11</c:v>
                </c:pt>
                <c:pt idx="5">
                  <c:v>12/11</c:v>
                </c:pt>
                <c:pt idx="6">
                  <c:v>14/11</c:v>
                </c:pt>
                <c:pt idx="7">
                  <c:v>17/11</c:v>
                </c:pt>
                <c:pt idx="8">
                  <c:v>19/11</c:v>
                </c:pt>
                <c:pt idx="9">
                  <c:v>20/11</c:v>
                </c:pt>
              </c:strCache>
            </c:strRef>
          </c:cat>
          <c:val>
            <c:numRef>
              <c:f>'Burn-down Chart'!$C$4:$C$13</c:f>
              <c:numCache>
                <c:formatCode>General</c:formatCode>
                <c:ptCount val="10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8649241"/>
        <c:axId val="40072986"/>
      </c:lineChart>
      <c:catAx>
        <c:axId val="586492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Fecha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072986"/>
        <c:crosses val="autoZero"/>
        <c:auto val="1"/>
        <c:lblAlgn val="ctr"/>
        <c:lblOffset val="100"/>
        <c:noMultiLvlLbl val="0"/>
      </c:catAx>
      <c:valAx>
        <c:axId val="400729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Horas restantes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6492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Task Chart - Sprint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'Task Chart'!B3</c:f>
              <c:strCache>
                <c:ptCount val="1"/>
                <c:pt idx="0">
                  <c:v>Tareas restantes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'Task Chart'!$A$4:$A$13</c:f>
              <c:strCache>
                <c:ptCount val="10"/>
                <c:pt idx="0">
                  <c:v>31/10</c:v>
                </c:pt>
                <c:pt idx="1">
                  <c:v>03/11</c:v>
                </c:pt>
                <c:pt idx="2">
                  <c:v>05/11</c:v>
                </c:pt>
                <c:pt idx="3">
                  <c:v>07/11</c:v>
                </c:pt>
                <c:pt idx="4">
                  <c:v>10/11</c:v>
                </c:pt>
                <c:pt idx="5">
                  <c:v>12/11</c:v>
                </c:pt>
                <c:pt idx="6">
                  <c:v>14/11</c:v>
                </c:pt>
                <c:pt idx="7">
                  <c:v>17/11</c:v>
                </c:pt>
                <c:pt idx="8">
                  <c:v>19/11</c:v>
                </c:pt>
                <c:pt idx="9">
                  <c:v>20/11</c:v>
                </c:pt>
              </c:strCache>
            </c:strRef>
          </c:cat>
          <c:val>
            <c:numRef>
              <c:f>'Task Chart'!$B$4:$B$13</c:f>
              <c:numCache>
                <c:formatCode>General</c:formatCode>
                <c:ptCount val="10"/>
              </c:numCache>
            </c:numRef>
          </c:val>
          <c:smooth val="0"/>
        </c:ser>
        <c:ser>
          <c:idx val="1"/>
          <c:order val="1"/>
          <c:tx>
            <c:strRef>
              <c:f>'Task Chart'!C3</c:f>
              <c:strCache>
                <c:ptCount val="1"/>
                <c:pt idx="0">
                  <c:v>Terminadas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'Task Chart'!$A$4:$A$13</c:f>
              <c:strCache>
                <c:ptCount val="10"/>
                <c:pt idx="0">
                  <c:v>31/10</c:v>
                </c:pt>
                <c:pt idx="1">
                  <c:v>03/11</c:v>
                </c:pt>
                <c:pt idx="2">
                  <c:v>05/11</c:v>
                </c:pt>
                <c:pt idx="3">
                  <c:v>07/11</c:v>
                </c:pt>
                <c:pt idx="4">
                  <c:v>10/11</c:v>
                </c:pt>
                <c:pt idx="5">
                  <c:v>12/11</c:v>
                </c:pt>
                <c:pt idx="6">
                  <c:v>14/11</c:v>
                </c:pt>
                <c:pt idx="7">
                  <c:v>17/11</c:v>
                </c:pt>
                <c:pt idx="8">
                  <c:v>19/11</c:v>
                </c:pt>
                <c:pt idx="9">
                  <c:v>20/11</c:v>
                </c:pt>
              </c:strCache>
            </c:strRef>
          </c:cat>
          <c:val>
            <c:numRef>
              <c:f>'Task Chart'!$C$4:$C$13</c:f>
              <c:numCache>
                <c:formatCode>General</c:formatCode>
                <c:ptCount val="10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8358688"/>
        <c:axId val="62320860"/>
      </c:lineChart>
      <c:catAx>
        <c:axId val="983586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Fecha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320860"/>
        <c:crosses val="autoZero"/>
        <c:auto val="1"/>
        <c:lblAlgn val="ctr"/>
        <c:lblOffset val="100"/>
        <c:noMultiLvlLbl val="0"/>
      </c:catAx>
      <c:valAx>
        <c:axId val="623208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Tareas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3586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15</xdr:col>
      <xdr:colOff>4320</xdr:colOff>
      <xdr:row>17</xdr:row>
      <xdr:rowOff>182160</xdr:rowOff>
    </xdr:to>
    <xdr:graphicFrame>
      <xdr:nvGraphicFramePr>
        <xdr:cNvPr id="0" name="Chart 1"/>
        <xdr:cNvGraphicFramePr/>
      </xdr:nvGraphicFramePr>
      <xdr:xfrm>
        <a:off x="4135680" y="379800"/>
        <a:ext cx="6119280" cy="3231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160560</xdr:rowOff>
    </xdr:from>
    <xdr:to>
      <xdr:col>12</xdr:col>
      <xdr:colOff>507240</xdr:colOff>
      <xdr:row>18</xdr:row>
      <xdr:rowOff>161280</xdr:rowOff>
    </xdr:to>
    <xdr:graphicFrame>
      <xdr:nvGraphicFramePr>
        <xdr:cNvPr id="1" name="Chart 1"/>
        <xdr:cNvGraphicFramePr/>
      </xdr:nvGraphicFramePr>
      <xdr:xfrm>
        <a:off x="3430800" y="379800"/>
        <a:ext cx="539928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3"/>
    <col collapsed="false" customWidth="true" hidden="false" outlineLevel="0" max="3" min="3" style="1" width="8"/>
    <col collapsed="false" customWidth="true" hidden="false" outlineLevel="0" max="4" min="4" style="1" width="13"/>
    <col collapsed="false" customWidth="true" hidden="false" outlineLevel="0" max="5" min="5" style="1" width="15"/>
    <col collapsed="false" customWidth="true" hidden="false" outlineLevel="0" max="6" min="6" style="1" width="60"/>
    <col collapsed="false" customWidth="true" hidden="false" outlineLevel="0" max="7" min="7" style="1" width="22"/>
  </cols>
  <sheetData>
    <row r="1" customFormat="false" ht="17.2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30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customFormat="false" ht="27.75" hidden="false" customHeight="false" outlineLevel="0" collapsed="false">
      <c r="A4" s="5" t="n">
        <v>1</v>
      </c>
      <c r="B4" s="6" t="n">
        <v>46266</v>
      </c>
      <c r="C4" s="7" t="n">
        <f aca="false">D4-B4+1</f>
        <v>18</v>
      </c>
      <c r="D4" s="6" t="n">
        <v>46283</v>
      </c>
      <c r="E4" s="5" t="s">
        <v>9</v>
      </c>
      <c r="F4" s="8" t="s">
        <v>10</v>
      </c>
      <c r="G4" s="8" t="s">
        <v>11</v>
      </c>
    </row>
    <row r="5" customFormat="false" ht="41.25" hidden="false" customHeight="false" outlineLevel="0" collapsed="false">
      <c r="A5" s="5" t="n">
        <v>2</v>
      </c>
      <c r="B5" s="6" t="n">
        <v>46284</v>
      </c>
      <c r="C5" s="7" t="n">
        <f aca="false">D5-B5+1</f>
        <v>42</v>
      </c>
      <c r="D5" s="6" t="n">
        <v>46325</v>
      </c>
      <c r="E5" s="5" t="s">
        <v>9</v>
      </c>
      <c r="F5" s="8" t="s">
        <v>12</v>
      </c>
      <c r="G5" s="8" t="s">
        <v>13</v>
      </c>
    </row>
    <row r="6" customFormat="false" ht="27.75" hidden="false" customHeight="false" outlineLevel="0" collapsed="false">
      <c r="A6" s="5" t="n">
        <v>3</v>
      </c>
      <c r="B6" s="6" t="n">
        <v>46326</v>
      </c>
      <c r="C6" s="7" t="n">
        <f aca="false">D6-B6+1</f>
        <v>21</v>
      </c>
      <c r="D6" s="6" t="n">
        <v>46346</v>
      </c>
      <c r="E6" s="5" t="s">
        <v>14</v>
      </c>
      <c r="F6" s="8" t="s">
        <v>15</v>
      </c>
      <c r="G6" s="8" t="s">
        <v>16</v>
      </c>
    </row>
    <row r="7" customFormat="false" ht="15" hidden="false" customHeight="false" outlineLevel="0" collapsed="false">
      <c r="A7" s="5" t="n">
        <v>4</v>
      </c>
      <c r="B7" s="6" t="n">
        <v>46347</v>
      </c>
      <c r="C7" s="7" t="n">
        <f aca="false">D7-B7+1</f>
        <v>10</v>
      </c>
      <c r="D7" s="6" t="n">
        <v>46356</v>
      </c>
      <c r="E7" s="5" t="s">
        <v>17</v>
      </c>
      <c r="F7" s="8" t="s">
        <v>18</v>
      </c>
      <c r="G7" s="8" t="s">
        <v>19</v>
      </c>
    </row>
  </sheetData>
  <mergeCells count="2">
    <mergeCell ref="A1:G1"/>
    <mergeCell ref="A2:G2"/>
  </mergeCells>
  <conditionalFormatting sqref="E4:E7">
    <cfRule type="cellIs" priority="2" operator="equal" aboveAverage="0" equalAverage="0" bottom="0" percent="0" rank="0" text="" dxfId="0">
      <formula>"Terminado"</formula>
    </cfRule>
    <cfRule type="cellIs" priority="3" operator="equal" aboveAverage="0" equalAverage="0" bottom="0" percent="0" rank="0" text="" dxfId="1">
      <formula>"En desarrollo"</formula>
    </cfRule>
    <cfRule type="cellIs" priority="4" operator="equal" aboveAverage="0" equalAverage="0" bottom="0" percent="0" rank="0" text="" dxfId="2">
      <formula>"Planeado"</formula>
    </cfRule>
    <cfRule type="cellIs" priority="5" operator="equal" aboveAverage="0" equalAverage="0" bottom="0" percent="0" rank="0" text="" dxfId="0">
      <formula>"Corregido"</formula>
    </cfRule>
    <cfRule type="cellIs" priority="6" operator="equal" aboveAverage="0" equalAverage="0" bottom="0" percent="0" rank="0" text="" dxfId="0">
      <formula>"Aprobada"</formula>
    </cfRule>
    <cfRule type="cellIs" priority="7" operator="equal" aboveAverage="0" equalAverage="0" bottom="0" percent="0" rank="0" text="" dxfId="1">
      <formula>"Por verificar"</formula>
    </cfRule>
    <cfRule type="cellIs" priority="8" operator="equal" aboveAverage="0" equalAverage="0" bottom="0" percent="0" rank="0" text="" dxfId="1">
      <formula>"Pendiente"</formula>
    </cfRule>
    <cfRule type="cellIs" priority="9" operator="equal" aboveAverage="0" equalAverage="0" bottom="0" percent="0" rank="0" text="" dxfId="3">
      <formula>"Abierto"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0"/>
    <col collapsed="false" customWidth="true" hidden="false" outlineLevel="0" max="3" min="3" style="1" width="58"/>
    <col collapsed="false" customWidth="true" hidden="false" outlineLevel="0" max="4" min="4" style="1" width="26"/>
    <col collapsed="false" customWidth="true" hidden="false" outlineLevel="0" max="5" min="5" style="1" width="14"/>
    <col collapsed="false" customWidth="true" hidden="false" outlineLevel="0" max="6" min="6" style="1" width="15"/>
    <col collapsed="false" customWidth="true" hidden="false" outlineLevel="0" max="7" min="7" style="1" width="10"/>
    <col collapsed="false" customWidth="true" hidden="false" outlineLevel="0" max="9" min="8" style="1" width="12"/>
  </cols>
  <sheetData>
    <row r="1" customFormat="false" ht="17.25" hidden="false" customHeight="false" outlineLevel="0" collapsed="false">
      <c r="A1" s="2" t="s">
        <v>20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21</v>
      </c>
      <c r="B2" s="3"/>
      <c r="C2" s="3"/>
      <c r="D2" s="3"/>
      <c r="E2" s="3"/>
      <c r="F2" s="3"/>
      <c r="G2" s="3"/>
      <c r="H2" s="3"/>
      <c r="I2" s="3"/>
    </row>
    <row r="3" customFormat="false" ht="30" hidden="false" customHeight="true" outlineLevel="0" collapsed="false">
      <c r="A3" s="4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6</v>
      </c>
      <c r="G3" s="4" t="s">
        <v>27</v>
      </c>
      <c r="H3" s="4" t="s">
        <v>3</v>
      </c>
      <c r="I3" s="4" t="s">
        <v>5</v>
      </c>
    </row>
    <row r="4" customFormat="false" ht="27.75" hidden="false" customHeight="false" outlineLevel="0" collapsed="false">
      <c r="A4" s="5" t="s">
        <v>28</v>
      </c>
      <c r="B4" s="5" t="n">
        <v>26</v>
      </c>
      <c r="C4" s="8" t="s">
        <v>29</v>
      </c>
      <c r="D4" s="8" t="s">
        <v>30</v>
      </c>
      <c r="E4" s="8" t="s">
        <v>31</v>
      </c>
      <c r="F4" s="5" t="s">
        <v>9</v>
      </c>
      <c r="G4" s="5" t="n">
        <v>2</v>
      </c>
      <c r="H4" s="6" t="n">
        <v>46315</v>
      </c>
      <c r="I4" s="6" t="n">
        <v>46315</v>
      </c>
    </row>
    <row r="5" customFormat="false" ht="15" hidden="false" customHeight="false" outlineLevel="0" collapsed="false">
      <c r="A5" s="5" t="s">
        <v>32</v>
      </c>
      <c r="B5" s="5" t="n">
        <v>26</v>
      </c>
      <c r="C5" s="8" t="s">
        <v>33</v>
      </c>
      <c r="D5" s="8" t="s">
        <v>30</v>
      </c>
      <c r="E5" s="8" t="s">
        <v>31</v>
      </c>
      <c r="F5" s="5" t="s">
        <v>9</v>
      </c>
      <c r="G5" s="5" t="n">
        <v>1</v>
      </c>
      <c r="H5" s="6" t="n">
        <v>46315</v>
      </c>
      <c r="I5" s="6" t="n">
        <v>46315</v>
      </c>
    </row>
    <row r="6" customFormat="false" ht="15" hidden="false" customHeight="false" outlineLevel="0" collapsed="false">
      <c r="A6" s="5" t="s">
        <v>34</v>
      </c>
      <c r="B6" s="5" t="n">
        <v>26</v>
      </c>
      <c r="C6" s="8" t="s">
        <v>35</v>
      </c>
      <c r="D6" s="8" t="s">
        <v>30</v>
      </c>
      <c r="E6" s="8" t="s">
        <v>31</v>
      </c>
      <c r="F6" s="5" t="s">
        <v>14</v>
      </c>
      <c r="G6" s="5" t="n">
        <v>3</v>
      </c>
      <c r="H6" s="6" t="n">
        <v>46315</v>
      </c>
      <c r="I6" s="5"/>
    </row>
    <row r="7" customFormat="false" ht="15" hidden="false" customHeight="false" outlineLevel="0" collapsed="false">
      <c r="A7" s="5" t="s">
        <v>36</v>
      </c>
      <c r="B7" s="5" t="n">
        <v>24</v>
      </c>
      <c r="C7" s="8" t="s">
        <v>37</v>
      </c>
      <c r="D7" s="8" t="s">
        <v>30</v>
      </c>
      <c r="E7" s="8" t="s">
        <v>31</v>
      </c>
      <c r="F7" s="5" t="s">
        <v>17</v>
      </c>
      <c r="G7" s="5" t="n">
        <v>1</v>
      </c>
      <c r="H7" s="5"/>
      <c r="I7" s="5"/>
    </row>
    <row r="8" customFormat="false" ht="27.75" hidden="false" customHeight="false" outlineLevel="0" collapsed="false">
      <c r="A8" s="5" t="s">
        <v>38</v>
      </c>
      <c r="B8" s="5" t="n">
        <v>14</v>
      </c>
      <c r="C8" s="8" t="s">
        <v>39</v>
      </c>
      <c r="D8" s="8" t="s">
        <v>30</v>
      </c>
      <c r="E8" s="8" t="s">
        <v>31</v>
      </c>
      <c r="F8" s="5" t="s">
        <v>17</v>
      </c>
      <c r="G8" s="5" t="n">
        <v>2</v>
      </c>
      <c r="H8" s="5"/>
      <c r="I8" s="5"/>
    </row>
    <row r="9" customFormat="false" ht="27.75" hidden="false" customHeight="false" outlineLevel="0" collapsed="false">
      <c r="A9" s="5" t="s">
        <v>40</v>
      </c>
      <c r="B9" s="5" t="n">
        <v>26</v>
      </c>
      <c r="C9" s="8" t="s">
        <v>41</v>
      </c>
      <c r="D9" s="8" t="s">
        <v>30</v>
      </c>
      <c r="E9" s="8" t="s">
        <v>31</v>
      </c>
      <c r="F9" s="5" t="s">
        <v>17</v>
      </c>
      <c r="G9" s="5" t="n">
        <v>4</v>
      </c>
      <c r="H9" s="5"/>
      <c r="I9" s="5"/>
    </row>
    <row r="10" customFormat="false" ht="15" hidden="false" customHeight="false" outlineLevel="0" collapsed="false">
      <c r="A10" s="5" t="s">
        <v>42</v>
      </c>
      <c r="B10" s="5" t="n">
        <v>26</v>
      </c>
      <c r="C10" s="8" t="s">
        <v>43</v>
      </c>
      <c r="D10" s="8" t="s">
        <v>30</v>
      </c>
      <c r="E10" s="8" t="s">
        <v>31</v>
      </c>
      <c r="F10" s="5" t="s">
        <v>17</v>
      </c>
      <c r="G10" s="5" t="n">
        <v>3</v>
      </c>
      <c r="H10" s="5"/>
      <c r="I10" s="5"/>
    </row>
    <row r="11" customFormat="false" ht="15" hidden="false" customHeight="false" outlineLevel="0" collapsed="false">
      <c r="A11" s="5" t="s">
        <v>44</v>
      </c>
      <c r="B11" s="5" t="n">
        <v>26</v>
      </c>
      <c r="C11" s="8" t="s">
        <v>45</v>
      </c>
      <c r="D11" s="8" t="s">
        <v>30</v>
      </c>
      <c r="E11" s="8" t="s">
        <v>31</v>
      </c>
      <c r="F11" s="5" t="s">
        <v>17</v>
      </c>
      <c r="G11" s="5" t="n">
        <v>2</v>
      </c>
      <c r="H11" s="5"/>
      <c r="I11" s="5"/>
    </row>
    <row r="12" customFormat="false" ht="15" hidden="false" customHeight="false" outlineLevel="0" collapsed="false">
      <c r="A12" s="5" t="s">
        <v>46</v>
      </c>
      <c r="B12" s="5" t="n">
        <v>14</v>
      </c>
      <c r="C12" s="8" t="s">
        <v>47</v>
      </c>
      <c r="D12" s="8" t="s">
        <v>30</v>
      </c>
      <c r="E12" s="8" t="s">
        <v>31</v>
      </c>
      <c r="F12" s="5" t="s">
        <v>17</v>
      </c>
      <c r="G12" s="5" t="n">
        <v>1</v>
      </c>
      <c r="H12" s="5"/>
      <c r="I12" s="5"/>
    </row>
    <row r="13" customFormat="false" ht="15" hidden="false" customHeight="false" outlineLevel="0" collapsed="false">
      <c r="A13" s="5" t="s">
        <v>48</v>
      </c>
      <c r="B13" s="5" t="n">
        <v>14</v>
      </c>
      <c r="C13" s="8" t="s">
        <v>49</v>
      </c>
      <c r="D13" s="8" t="s">
        <v>30</v>
      </c>
      <c r="E13" s="8" t="s">
        <v>31</v>
      </c>
      <c r="F13" s="5" t="s">
        <v>17</v>
      </c>
      <c r="G13" s="5" t="n">
        <v>8</v>
      </c>
      <c r="H13" s="5"/>
      <c r="I13" s="5"/>
    </row>
    <row r="14" customFormat="false" ht="27.75" hidden="false" customHeight="false" outlineLevel="0" collapsed="false">
      <c r="A14" s="5" t="s">
        <v>50</v>
      </c>
      <c r="B14" s="5" t="n">
        <v>14</v>
      </c>
      <c r="C14" s="8" t="s">
        <v>51</v>
      </c>
      <c r="D14" s="8" t="s">
        <v>30</v>
      </c>
      <c r="E14" s="8" t="s">
        <v>31</v>
      </c>
      <c r="F14" s="5" t="s">
        <v>17</v>
      </c>
      <c r="G14" s="5" t="n">
        <v>4</v>
      </c>
      <c r="H14" s="5"/>
      <c r="I14" s="5"/>
    </row>
    <row r="15" customFormat="false" ht="15" hidden="false" customHeight="false" outlineLevel="0" collapsed="false">
      <c r="A15" s="5" t="s">
        <v>52</v>
      </c>
      <c r="B15" s="5" t="n">
        <v>14</v>
      </c>
      <c r="C15" s="8" t="s">
        <v>53</v>
      </c>
      <c r="D15" s="8" t="s">
        <v>30</v>
      </c>
      <c r="E15" s="8" t="s">
        <v>31</v>
      </c>
      <c r="F15" s="5" t="s">
        <v>17</v>
      </c>
      <c r="G15" s="5" t="n">
        <v>3</v>
      </c>
      <c r="H15" s="5"/>
      <c r="I15" s="5"/>
    </row>
    <row r="16" customFormat="false" ht="15" hidden="false" customHeight="false" outlineLevel="0" collapsed="false">
      <c r="A16" s="5" t="s">
        <v>54</v>
      </c>
      <c r="B16" s="5" t="n">
        <v>24</v>
      </c>
      <c r="C16" s="8" t="s">
        <v>55</v>
      </c>
      <c r="D16" s="8" t="s">
        <v>30</v>
      </c>
      <c r="E16" s="8" t="s">
        <v>31</v>
      </c>
      <c r="F16" s="5" t="s">
        <v>17</v>
      </c>
      <c r="G16" s="5" t="n">
        <v>1</v>
      </c>
      <c r="H16" s="5"/>
      <c r="I16" s="5"/>
    </row>
    <row r="17" customFormat="false" ht="15" hidden="false" customHeight="false" outlineLevel="0" collapsed="false">
      <c r="A17" s="5" t="s">
        <v>56</v>
      </c>
      <c r="B17" s="5" t="n">
        <v>25</v>
      </c>
      <c r="C17" s="8" t="s">
        <v>57</v>
      </c>
      <c r="D17" s="8" t="s">
        <v>30</v>
      </c>
      <c r="E17" s="8" t="s">
        <v>31</v>
      </c>
      <c r="F17" s="5" t="s">
        <v>17</v>
      </c>
      <c r="G17" s="5" t="n">
        <v>4</v>
      </c>
      <c r="H17" s="5"/>
      <c r="I17" s="5"/>
    </row>
    <row r="18" customFormat="false" ht="15" hidden="false" customHeight="false" outlineLevel="0" collapsed="false">
      <c r="A18" s="5" t="s">
        <v>58</v>
      </c>
      <c r="B18" s="5" t="n">
        <v>26</v>
      </c>
      <c r="C18" s="8" t="s">
        <v>59</v>
      </c>
      <c r="D18" s="8" t="s">
        <v>30</v>
      </c>
      <c r="E18" s="8" t="s">
        <v>31</v>
      </c>
      <c r="F18" s="5" t="s">
        <v>17</v>
      </c>
      <c r="G18" s="5" t="n">
        <v>3</v>
      </c>
      <c r="H18" s="5"/>
      <c r="I18" s="5"/>
    </row>
    <row r="19" customFormat="false" ht="15" hidden="false" customHeight="false" outlineLevel="0" collapsed="false">
      <c r="A19" s="5" t="s">
        <v>60</v>
      </c>
      <c r="B19" s="5" t="n">
        <v>14</v>
      </c>
      <c r="C19" s="8" t="s">
        <v>61</v>
      </c>
      <c r="D19" s="8" t="s">
        <v>30</v>
      </c>
      <c r="E19" s="8" t="s">
        <v>31</v>
      </c>
      <c r="F19" s="5" t="s">
        <v>17</v>
      </c>
      <c r="G19" s="5" t="n">
        <v>1</v>
      </c>
      <c r="H19" s="5"/>
      <c r="I19" s="5"/>
    </row>
    <row r="21" customFormat="false" ht="15" hidden="false" customHeight="false" outlineLevel="0" collapsed="false">
      <c r="F21" s="9" t="s">
        <v>62</v>
      </c>
      <c r="G21" s="9" t="n">
        <f aca="false">SUM(G4:G19)</f>
        <v>43</v>
      </c>
    </row>
    <row r="22" customFormat="false" ht="15" hidden="false" customHeight="false" outlineLevel="0" collapsed="false">
      <c r="F22" s="9" t="s">
        <v>63</v>
      </c>
      <c r="G22" s="9" t="str">
        <f aca="false">COUNTIF(F4:F19,"Terminado")&amp;" de "&amp;COUNTA(A4:A19)</f>
        <v>2 de 16</v>
      </c>
    </row>
    <row r="23" customFormat="false" ht="15" hidden="false" customHeight="false" outlineLevel="0" collapsed="false">
      <c r="F23" s="9" t="s">
        <v>64</v>
      </c>
      <c r="G23" s="10" t="n">
        <f aca="false">SUMIF(F4:F19,"Terminado",G4:G19)/G21</f>
        <v>0.0697674418604651</v>
      </c>
    </row>
  </sheetData>
  <mergeCells count="2">
    <mergeCell ref="A1:I1"/>
    <mergeCell ref="A2:I2"/>
  </mergeCells>
  <conditionalFormatting sqref="F4:F19">
    <cfRule type="cellIs" priority="2" operator="equal" aboveAverage="0" equalAverage="0" bottom="0" percent="0" rank="0" text="" dxfId="0">
      <formula>"Terminado"</formula>
    </cfRule>
    <cfRule type="cellIs" priority="3" operator="equal" aboveAverage="0" equalAverage="0" bottom="0" percent="0" rank="0" text="" dxfId="1">
      <formula>"En desarrollo"</formula>
    </cfRule>
    <cfRule type="cellIs" priority="4" operator="equal" aboveAverage="0" equalAverage="0" bottom="0" percent="0" rank="0" text="" dxfId="2">
      <formula>"Planeado"</formula>
    </cfRule>
    <cfRule type="cellIs" priority="5" operator="equal" aboveAverage="0" equalAverage="0" bottom="0" percent="0" rank="0" text="" dxfId="0">
      <formula>"Corregido"</formula>
    </cfRule>
    <cfRule type="cellIs" priority="6" operator="equal" aboveAverage="0" equalAverage="0" bottom="0" percent="0" rank="0" text="" dxfId="0">
      <formula>"Aprobada"</formula>
    </cfRule>
    <cfRule type="cellIs" priority="7" operator="equal" aboveAverage="0" equalAverage="0" bottom="0" percent="0" rank="0" text="" dxfId="1">
      <formula>"Por verificar"</formula>
    </cfRule>
    <cfRule type="cellIs" priority="8" operator="equal" aboveAverage="0" equalAverage="0" bottom="0" percent="0" rank="0" text="" dxfId="1">
      <formula>"Pendiente"</formula>
    </cfRule>
    <cfRule type="cellIs" priority="9" operator="equal" aboveAverage="0" equalAverage="0" bottom="0" percent="0" rank="0" text="" dxfId="3">
      <formula>"Abierto"</formula>
    </cfRule>
  </conditionalFormatting>
  <dataValidations count="1">
    <dataValidation allowBlank="true" errorStyle="stop" operator="between" showDropDown="false" showErrorMessage="false" showInputMessage="false" sqref="F4:F19" type="list">
      <formula1>"Terminado,En desarrollo,Planeado"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4" min="2" style="1" width="48"/>
  </cols>
  <sheetData>
    <row r="1" customFormat="false" ht="17.25" hidden="false" customHeight="false" outlineLevel="0" collapsed="false">
      <c r="A1" s="2" t="s">
        <v>65</v>
      </c>
      <c r="B1" s="2"/>
      <c r="C1" s="2"/>
      <c r="D1" s="2"/>
    </row>
    <row r="2" customFormat="false" ht="15" hidden="false" customHeight="false" outlineLevel="0" collapsed="false">
      <c r="A2" s="3" t="s">
        <v>66</v>
      </c>
      <c r="B2" s="3"/>
      <c r="C2" s="3"/>
      <c r="D2" s="3"/>
    </row>
    <row r="3" customFormat="false" ht="30" hidden="false" customHeight="true" outlineLevel="0" collapsed="false">
      <c r="A3" s="4" t="s">
        <v>67</v>
      </c>
      <c r="B3" s="4" t="s">
        <v>68</v>
      </c>
      <c r="C3" s="4" t="s">
        <v>69</v>
      </c>
      <c r="D3" s="4" t="s">
        <v>70</v>
      </c>
    </row>
    <row r="4" customFormat="false" ht="27.75" hidden="false" customHeight="false" outlineLevel="0" collapsed="false">
      <c r="A4" s="6" t="n">
        <v>46315</v>
      </c>
      <c r="B4" s="8" t="s">
        <v>71</v>
      </c>
      <c r="C4" s="8" t="s">
        <v>72</v>
      </c>
      <c r="D4" s="8" t="s">
        <v>73</v>
      </c>
    </row>
    <row r="5" customFormat="false" ht="42" hidden="false" customHeight="true" outlineLevel="0" collapsed="false">
      <c r="A5" s="6" t="n">
        <v>46326</v>
      </c>
      <c r="B5" s="8"/>
      <c r="C5" s="8"/>
      <c r="D5" s="8"/>
    </row>
    <row r="6" customFormat="false" ht="42" hidden="false" customHeight="true" outlineLevel="0" collapsed="false">
      <c r="A6" s="6" t="n">
        <v>46329</v>
      </c>
      <c r="B6" s="8"/>
      <c r="C6" s="8"/>
      <c r="D6" s="8"/>
    </row>
    <row r="7" customFormat="false" ht="42" hidden="false" customHeight="true" outlineLevel="0" collapsed="false">
      <c r="A7" s="6" t="n">
        <v>46331</v>
      </c>
      <c r="B7" s="8"/>
      <c r="C7" s="8"/>
      <c r="D7" s="8"/>
    </row>
    <row r="8" customFormat="false" ht="42" hidden="false" customHeight="true" outlineLevel="0" collapsed="false">
      <c r="A8" s="6" t="n">
        <v>46333</v>
      </c>
      <c r="B8" s="8"/>
      <c r="C8" s="8"/>
      <c r="D8" s="8"/>
    </row>
    <row r="9" customFormat="false" ht="42" hidden="false" customHeight="true" outlineLevel="0" collapsed="false">
      <c r="A9" s="6" t="n">
        <v>46336</v>
      </c>
      <c r="B9" s="8"/>
      <c r="C9" s="8"/>
      <c r="D9" s="8"/>
    </row>
    <row r="10" customFormat="false" ht="42" hidden="false" customHeight="true" outlineLevel="0" collapsed="false">
      <c r="A10" s="6" t="n">
        <v>46338</v>
      </c>
      <c r="B10" s="8"/>
      <c r="C10" s="8"/>
      <c r="D10" s="8"/>
    </row>
    <row r="11" customFormat="false" ht="42" hidden="false" customHeight="true" outlineLevel="0" collapsed="false">
      <c r="A11" s="6" t="n">
        <v>46340</v>
      </c>
      <c r="B11" s="8"/>
      <c r="C11" s="8"/>
      <c r="D11" s="8"/>
    </row>
    <row r="12" customFormat="false" ht="42" hidden="false" customHeight="true" outlineLevel="0" collapsed="false">
      <c r="A12" s="6" t="n">
        <v>46343</v>
      </c>
      <c r="B12" s="8"/>
      <c r="C12" s="8"/>
      <c r="D12" s="8"/>
    </row>
    <row r="13" customFormat="false" ht="42" hidden="false" customHeight="true" outlineLevel="0" collapsed="false">
      <c r="A13" s="6" t="n">
        <v>46345</v>
      </c>
      <c r="B13" s="8"/>
      <c r="C13" s="8"/>
      <c r="D13" s="8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"/>
    <col collapsed="false" customWidth="true" hidden="false" outlineLevel="0" max="3" min="3" style="1" width="12"/>
    <col collapsed="false" customWidth="true" hidden="false" outlineLevel="0" max="4" min="4" style="1" width="13"/>
  </cols>
  <sheetData>
    <row r="1" customFormat="false" ht="17.25" hidden="false" customHeight="false" outlineLevel="0" collapsed="false">
      <c r="A1" s="2" t="s">
        <v>74</v>
      </c>
      <c r="B1" s="2"/>
      <c r="C1" s="2"/>
      <c r="D1" s="2"/>
    </row>
    <row r="2" customFormat="false" ht="15" hidden="false" customHeight="false" outlineLevel="0" collapsed="false">
      <c r="A2" s="3" t="s">
        <v>75</v>
      </c>
      <c r="B2" s="3"/>
      <c r="C2" s="3"/>
      <c r="D2" s="3"/>
      <c r="E2" s="3"/>
      <c r="F2" s="3"/>
    </row>
    <row r="3" customFormat="false" ht="27.75" hidden="false" customHeight="false" outlineLevel="0" collapsed="false">
      <c r="A3" s="11" t="s">
        <v>67</v>
      </c>
      <c r="B3" s="11" t="s">
        <v>76</v>
      </c>
      <c r="C3" s="11" t="s">
        <v>77</v>
      </c>
      <c r="D3" s="11" t="s">
        <v>78</v>
      </c>
    </row>
    <row r="4" customFormat="false" ht="15" hidden="false" customHeight="false" outlineLevel="0" collapsed="false">
      <c r="A4" s="12" t="n">
        <v>46326</v>
      </c>
      <c r="B4" s="13" t="n">
        <f aca="false">ROUND('Sprint Backlog'!$G$21*('Sprint Plan'!$D$6-A4)/('Sprint Plan'!$D$6-'Sprint Plan'!$B$6),1)</f>
        <v>43</v>
      </c>
      <c r="C4" s="13" t="e">
        <f aca="true">IF(A4&gt;TODAY(),NA(),'Sprint Backlog'!$G$21-SUMIFS('Sprint Backlog'!$G$4:$G$19,'Sprint Backlog'!$F$4:$F$19,"Terminado",'Sprint Backlog'!$I$4:$I$19,"&lt;="&amp;A4))</f>
        <v>#N/A</v>
      </c>
      <c r="D4" s="13" t="e">
        <f aca="true">IF(A4&gt;TODAY(),NA(),COUNTA('Sprint Backlog'!$A$4:$A$19)-COUNTIFS('Sprint Backlog'!$F$4:$F$19,"Terminado",'Sprint Backlog'!$I$4:$I$19,"&lt;="&amp;A4))</f>
        <v>#N/A</v>
      </c>
    </row>
    <row r="5" customFormat="false" ht="15" hidden="false" customHeight="false" outlineLevel="0" collapsed="false">
      <c r="A5" s="12" t="n">
        <v>46329</v>
      </c>
      <c r="B5" s="13" t="n">
        <f aca="false">ROUND('Sprint Backlog'!$G$21*('Sprint Plan'!$D$6-A5)/('Sprint Plan'!$D$6-'Sprint Plan'!$B$6),1)</f>
        <v>36.6</v>
      </c>
      <c r="C5" s="13" t="e">
        <f aca="true">IF(A5&gt;TODAY(),NA(),'Sprint Backlog'!$G$21-SUMIFS('Sprint Backlog'!$G$4:$G$19,'Sprint Backlog'!$F$4:$F$19,"Terminado",'Sprint Backlog'!$I$4:$I$19,"&lt;="&amp;A5))</f>
        <v>#N/A</v>
      </c>
      <c r="D5" s="13" t="e">
        <f aca="true">IF(A5&gt;TODAY(),NA(),COUNTA('Sprint Backlog'!$A$4:$A$19)-COUNTIFS('Sprint Backlog'!$F$4:$F$19,"Terminado",'Sprint Backlog'!$I$4:$I$19,"&lt;="&amp;A5))</f>
        <v>#N/A</v>
      </c>
    </row>
    <row r="6" customFormat="false" ht="15" hidden="false" customHeight="false" outlineLevel="0" collapsed="false">
      <c r="A6" s="12" t="n">
        <v>46331</v>
      </c>
      <c r="B6" s="13" t="n">
        <f aca="false">ROUND('Sprint Backlog'!$G$21*('Sprint Plan'!$D$6-A6)/('Sprint Plan'!$D$6-'Sprint Plan'!$B$6),1)</f>
        <v>32.3</v>
      </c>
      <c r="C6" s="13" t="e">
        <f aca="true">IF(A6&gt;TODAY(),NA(),'Sprint Backlog'!$G$21-SUMIFS('Sprint Backlog'!$G$4:$G$19,'Sprint Backlog'!$F$4:$F$19,"Terminado",'Sprint Backlog'!$I$4:$I$19,"&lt;="&amp;A6))</f>
        <v>#N/A</v>
      </c>
      <c r="D6" s="13" t="e">
        <f aca="true">IF(A6&gt;TODAY(),NA(),COUNTA('Sprint Backlog'!$A$4:$A$19)-COUNTIFS('Sprint Backlog'!$F$4:$F$19,"Terminado",'Sprint Backlog'!$I$4:$I$19,"&lt;="&amp;A6))</f>
        <v>#N/A</v>
      </c>
    </row>
    <row r="7" customFormat="false" ht="15" hidden="false" customHeight="false" outlineLevel="0" collapsed="false">
      <c r="A7" s="12" t="n">
        <v>46333</v>
      </c>
      <c r="B7" s="13" t="n">
        <f aca="false">ROUND('Sprint Backlog'!$G$21*('Sprint Plan'!$D$6-A7)/('Sprint Plan'!$D$6-'Sprint Plan'!$B$6),1)</f>
        <v>28</v>
      </c>
      <c r="C7" s="13" t="e">
        <f aca="true">IF(A7&gt;TODAY(),NA(),'Sprint Backlog'!$G$21-SUMIFS('Sprint Backlog'!$G$4:$G$19,'Sprint Backlog'!$F$4:$F$19,"Terminado",'Sprint Backlog'!$I$4:$I$19,"&lt;="&amp;A7))</f>
        <v>#N/A</v>
      </c>
      <c r="D7" s="13" t="e">
        <f aca="true">IF(A7&gt;TODAY(),NA(),COUNTA('Sprint Backlog'!$A$4:$A$19)-COUNTIFS('Sprint Backlog'!$F$4:$F$19,"Terminado",'Sprint Backlog'!$I$4:$I$19,"&lt;="&amp;A7))</f>
        <v>#N/A</v>
      </c>
    </row>
    <row r="8" customFormat="false" ht="15" hidden="false" customHeight="false" outlineLevel="0" collapsed="false">
      <c r="A8" s="12" t="n">
        <v>46336</v>
      </c>
      <c r="B8" s="13" t="n">
        <f aca="false">ROUND('Sprint Backlog'!$G$21*('Sprint Plan'!$D$6-A8)/('Sprint Plan'!$D$6-'Sprint Plan'!$B$6),1)</f>
        <v>21.5</v>
      </c>
      <c r="C8" s="13" t="e">
        <f aca="true">IF(A8&gt;TODAY(),NA(),'Sprint Backlog'!$G$21-SUMIFS('Sprint Backlog'!$G$4:$G$19,'Sprint Backlog'!$F$4:$F$19,"Terminado",'Sprint Backlog'!$I$4:$I$19,"&lt;="&amp;A8))</f>
        <v>#N/A</v>
      </c>
      <c r="D8" s="13" t="e">
        <f aca="true">IF(A8&gt;TODAY(),NA(),COUNTA('Sprint Backlog'!$A$4:$A$19)-COUNTIFS('Sprint Backlog'!$F$4:$F$19,"Terminado",'Sprint Backlog'!$I$4:$I$19,"&lt;="&amp;A8))</f>
        <v>#N/A</v>
      </c>
    </row>
    <row r="9" customFormat="false" ht="15" hidden="false" customHeight="false" outlineLevel="0" collapsed="false">
      <c r="A9" s="12" t="n">
        <v>46338</v>
      </c>
      <c r="B9" s="13" t="n">
        <f aca="false">ROUND('Sprint Backlog'!$G$21*('Sprint Plan'!$D$6-A9)/('Sprint Plan'!$D$6-'Sprint Plan'!$B$6),1)</f>
        <v>17.2</v>
      </c>
      <c r="C9" s="13" t="e">
        <f aca="true">IF(A9&gt;TODAY(),NA(),'Sprint Backlog'!$G$21-SUMIFS('Sprint Backlog'!$G$4:$G$19,'Sprint Backlog'!$F$4:$F$19,"Terminado",'Sprint Backlog'!$I$4:$I$19,"&lt;="&amp;A9))</f>
        <v>#N/A</v>
      </c>
      <c r="D9" s="13" t="e">
        <f aca="true">IF(A9&gt;TODAY(),NA(),COUNTA('Sprint Backlog'!$A$4:$A$19)-COUNTIFS('Sprint Backlog'!$F$4:$F$19,"Terminado",'Sprint Backlog'!$I$4:$I$19,"&lt;="&amp;A9))</f>
        <v>#N/A</v>
      </c>
    </row>
    <row r="10" customFormat="false" ht="15" hidden="false" customHeight="false" outlineLevel="0" collapsed="false">
      <c r="A10" s="12" t="n">
        <v>46340</v>
      </c>
      <c r="B10" s="13" t="n">
        <f aca="false">ROUND('Sprint Backlog'!$G$21*('Sprint Plan'!$D$6-A10)/('Sprint Plan'!$D$6-'Sprint Plan'!$B$6),1)</f>
        <v>12.9</v>
      </c>
      <c r="C10" s="13" t="e">
        <f aca="true">IF(A10&gt;TODAY(),NA(),'Sprint Backlog'!$G$21-SUMIFS('Sprint Backlog'!$G$4:$G$19,'Sprint Backlog'!$F$4:$F$19,"Terminado",'Sprint Backlog'!$I$4:$I$19,"&lt;="&amp;A10))</f>
        <v>#N/A</v>
      </c>
      <c r="D10" s="13" t="e">
        <f aca="true">IF(A10&gt;TODAY(),NA(),COUNTA('Sprint Backlog'!$A$4:$A$19)-COUNTIFS('Sprint Backlog'!$F$4:$F$19,"Terminado",'Sprint Backlog'!$I$4:$I$19,"&lt;="&amp;A10))</f>
        <v>#N/A</v>
      </c>
    </row>
    <row r="11" customFormat="false" ht="15" hidden="false" customHeight="false" outlineLevel="0" collapsed="false">
      <c r="A11" s="12" t="n">
        <v>46343</v>
      </c>
      <c r="B11" s="13" t="n">
        <f aca="false">ROUND('Sprint Backlog'!$G$21*('Sprint Plan'!$D$6-A11)/('Sprint Plan'!$D$6-'Sprint Plan'!$B$6),1)</f>
        <v>6.5</v>
      </c>
      <c r="C11" s="13" t="e">
        <f aca="true">IF(A11&gt;TODAY(),NA(),'Sprint Backlog'!$G$21-SUMIFS('Sprint Backlog'!$G$4:$G$19,'Sprint Backlog'!$F$4:$F$19,"Terminado",'Sprint Backlog'!$I$4:$I$19,"&lt;="&amp;A11))</f>
        <v>#N/A</v>
      </c>
      <c r="D11" s="13" t="e">
        <f aca="true">IF(A11&gt;TODAY(),NA(),COUNTA('Sprint Backlog'!$A$4:$A$19)-COUNTIFS('Sprint Backlog'!$F$4:$F$19,"Terminado",'Sprint Backlog'!$I$4:$I$19,"&lt;="&amp;A11))</f>
        <v>#N/A</v>
      </c>
    </row>
    <row r="12" customFormat="false" ht="15" hidden="false" customHeight="false" outlineLevel="0" collapsed="false">
      <c r="A12" s="12" t="n">
        <v>46345</v>
      </c>
      <c r="B12" s="13" t="n">
        <f aca="false">ROUND('Sprint Backlog'!$G$21*('Sprint Plan'!$D$6-A12)/('Sprint Plan'!$D$6-'Sprint Plan'!$B$6),1)</f>
        <v>2.2</v>
      </c>
      <c r="C12" s="13" t="e">
        <f aca="true">IF(A12&gt;TODAY(),NA(),'Sprint Backlog'!$G$21-SUMIFS('Sprint Backlog'!$G$4:$G$19,'Sprint Backlog'!$F$4:$F$19,"Terminado",'Sprint Backlog'!$I$4:$I$19,"&lt;="&amp;A12))</f>
        <v>#N/A</v>
      </c>
      <c r="D12" s="13" t="e">
        <f aca="true">IF(A12&gt;TODAY(),NA(),COUNTA('Sprint Backlog'!$A$4:$A$19)-COUNTIFS('Sprint Backlog'!$F$4:$F$19,"Terminado",'Sprint Backlog'!$I$4:$I$19,"&lt;="&amp;A12))</f>
        <v>#N/A</v>
      </c>
    </row>
    <row r="13" customFormat="false" ht="15" hidden="false" customHeight="false" outlineLevel="0" collapsed="false">
      <c r="A13" s="12" t="n">
        <v>46346</v>
      </c>
      <c r="B13" s="13" t="n">
        <f aca="false">ROUND('Sprint Backlog'!$G$21*('Sprint Plan'!$D$6-A13)/('Sprint Plan'!$D$6-'Sprint Plan'!$B$6),1)</f>
        <v>0</v>
      </c>
      <c r="C13" s="13" t="e">
        <f aca="true">IF(A13&gt;TODAY(),NA(),'Sprint Backlog'!$G$21-SUMIFS('Sprint Backlog'!$G$4:$G$19,'Sprint Backlog'!$F$4:$F$19,"Terminado",'Sprint Backlog'!$I$4:$I$19,"&lt;="&amp;A13))</f>
        <v>#N/A</v>
      </c>
      <c r="D13" s="13" t="e">
        <f aca="true">IF(A13&gt;TODAY(),NA(),COUNTA('Sprint Backlog'!$A$4:$A$19)-COUNTIFS('Sprint Backlog'!$F$4:$F$19,"Terminado",'Sprint Backlog'!$I$4:$I$19,"&lt;="&amp;A13))</f>
        <v>#N/A</v>
      </c>
    </row>
  </sheetData>
  <mergeCells count="2">
    <mergeCell ref="A1:D1"/>
    <mergeCell ref="A2:F2"/>
  </mergeCells>
  <conditionalFormatting sqref="C4:D13">
    <cfRule type="expression" priority="2" aboveAverage="0" equalAverage="0" bottom="0" percent="0" rank="0" text="" dxfId="4">
      <formula>ISNA(C4)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5"/>
    <col collapsed="false" customWidth="true" hidden="false" outlineLevel="0" max="3" min="3" style="1" width="13"/>
  </cols>
  <sheetData>
    <row r="1" customFormat="false" ht="17.25" hidden="false" customHeight="false" outlineLevel="0" collapsed="false">
      <c r="A1" s="2" t="s">
        <v>79</v>
      </c>
      <c r="B1" s="2"/>
      <c r="C1" s="2"/>
    </row>
    <row r="2" customFormat="false" ht="15" hidden="false" customHeight="false" outlineLevel="0" collapsed="false">
      <c r="A2" s="14" t="s">
        <v>80</v>
      </c>
    </row>
    <row r="3" customFormat="false" ht="15" hidden="false" customHeight="false" outlineLevel="0" collapsed="false">
      <c r="A3" s="11" t="s">
        <v>67</v>
      </c>
      <c r="B3" s="11" t="s">
        <v>78</v>
      </c>
      <c r="C3" s="11" t="s">
        <v>81</v>
      </c>
    </row>
    <row r="4" customFormat="false" ht="15" hidden="false" customHeight="false" outlineLevel="0" collapsed="false">
      <c r="A4" s="12" t="n">
        <f aca="false">'Burn-down Chart'!A4</f>
        <v>46326</v>
      </c>
      <c r="B4" s="13" t="e">
        <f aca="false">'Burn-down Chart'!D4</f>
        <v>#N/A</v>
      </c>
      <c r="C4" s="13" t="e">
        <f aca="false">IF(ISNA(B4),NA(),COUNTA('Sprint Backlog'!$A$4:$A$19)-B4)</f>
        <v>#N/A</v>
      </c>
    </row>
    <row r="5" customFormat="false" ht="15" hidden="false" customHeight="false" outlineLevel="0" collapsed="false">
      <c r="A5" s="12" t="n">
        <f aca="false">'Burn-down Chart'!A5</f>
        <v>46329</v>
      </c>
      <c r="B5" s="13" t="e">
        <f aca="false">'Burn-down Chart'!D5</f>
        <v>#N/A</v>
      </c>
      <c r="C5" s="13" t="e">
        <f aca="false">IF(ISNA(B5),NA(),COUNTA('Sprint Backlog'!$A$4:$A$19)-B5)</f>
        <v>#N/A</v>
      </c>
    </row>
    <row r="6" customFormat="false" ht="15" hidden="false" customHeight="false" outlineLevel="0" collapsed="false">
      <c r="A6" s="12" t="n">
        <f aca="false">'Burn-down Chart'!A6</f>
        <v>46331</v>
      </c>
      <c r="B6" s="13" t="e">
        <f aca="false">'Burn-down Chart'!D6</f>
        <v>#N/A</v>
      </c>
      <c r="C6" s="13" t="e">
        <f aca="false">IF(ISNA(B6),NA(),COUNTA('Sprint Backlog'!$A$4:$A$19)-B6)</f>
        <v>#N/A</v>
      </c>
    </row>
    <row r="7" customFormat="false" ht="15" hidden="false" customHeight="false" outlineLevel="0" collapsed="false">
      <c r="A7" s="12" t="n">
        <f aca="false">'Burn-down Chart'!A7</f>
        <v>46333</v>
      </c>
      <c r="B7" s="13" t="e">
        <f aca="false">'Burn-down Chart'!D7</f>
        <v>#N/A</v>
      </c>
      <c r="C7" s="13" t="e">
        <f aca="false">IF(ISNA(B7),NA(),COUNTA('Sprint Backlog'!$A$4:$A$19)-B7)</f>
        <v>#N/A</v>
      </c>
    </row>
    <row r="8" customFormat="false" ht="15" hidden="false" customHeight="false" outlineLevel="0" collapsed="false">
      <c r="A8" s="12" t="n">
        <f aca="false">'Burn-down Chart'!A8</f>
        <v>46336</v>
      </c>
      <c r="B8" s="13" t="e">
        <f aca="false">'Burn-down Chart'!D8</f>
        <v>#N/A</v>
      </c>
      <c r="C8" s="13" t="e">
        <f aca="false">IF(ISNA(B8),NA(),COUNTA('Sprint Backlog'!$A$4:$A$19)-B8)</f>
        <v>#N/A</v>
      </c>
    </row>
    <row r="9" customFormat="false" ht="15" hidden="false" customHeight="false" outlineLevel="0" collapsed="false">
      <c r="A9" s="12" t="n">
        <f aca="false">'Burn-down Chart'!A9</f>
        <v>46338</v>
      </c>
      <c r="B9" s="13" t="e">
        <f aca="false">'Burn-down Chart'!D9</f>
        <v>#N/A</v>
      </c>
      <c r="C9" s="13" t="e">
        <f aca="false">IF(ISNA(B9),NA(),COUNTA('Sprint Backlog'!$A$4:$A$19)-B9)</f>
        <v>#N/A</v>
      </c>
    </row>
    <row r="10" customFormat="false" ht="15" hidden="false" customHeight="false" outlineLevel="0" collapsed="false">
      <c r="A10" s="12" t="n">
        <f aca="false">'Burn-down Chart'!A10</f>
        <v>46340</v>
      </c>
      <c r="B10" s="13" t="e">
        <f aca="false">'Burn-down Chart'!D10</f>
        <v>#N/A</v>
      </c>
      <c r="C10" s="13" t="e">
        <f aca="false">IF(ISNA(B10),NA(),COUNTA('Sprint Backlog'!$A$4:$A$19)-B10)</f>
        <v>#N/A</v>
      </c>
    </row>
    <row r="11" customFormat="false" ht="15" hidden="false" customHeight="false" outlineLevel="0" collapsed="false">
      <c r="A11" s="12" t="n">
        <f aca="false">'Burn-down Chart'!A11</f>
        <v>46343</v>
      </c>
      <c r="B11" s="13" t="e">
        <f aca="false">'Burn-down Chart'!D11</f>
        <v>#N/A</v>
      </c>
      <c r="C11" s="13" t="e">
        <f aca="false">IF(ISNA(B11),NA(),COUNTA('Sprint Backlog'!$A$4:$A$19)-B11)</f>
        <v>#N/A</v>
      </c>
    </row>
    <row r="12" customFormat="false" ht="15" hidden="false" customHeight="false" outlineLevel="0" collapsed="false">
      <c r="A12" s="12" t="n">
        <f aca="false">'Burn-down Chart'!A12</f>
        <v>46345</v>
      </c>
      <c r="B12" s="13" t="e">
        <f aca="false">'Burn-down Chart'!D12</f>
        <v>#N/A</v>
      </c>
      <c r="C12" s="13" t="e">
        <f aca="false">IF(ISNA(B12),NA(),COUNTA('Sprint Backlog'!$A$4:$A$19)-B12)</f>
        <v>#N/A</v>
      </c>
    </row>
    <row r="13" customFormat="false" ht="15" hidden="false" customHeight="false" outlineLevel="0" collapsed="false">
      <c r="A13" s="12" t="n">
        <f aca="false">'Burn-down Chart'!A13</f>
        <v>46346</v>
      </c>
      <c r="B13" s="13" t="e">
        <f aca="false">'Burn-down Chart'!D13</f>
        <v>#N/A</v>
      </c>
      <c r="C13" s="13" t="e">
        <f aca="false">IF(ISNA(B13),NA(),COUNTA('Sprint Backlog'!$A$4:$A$19)-B13)</f>
        <v>#N/A</v>
      </c>
    </row>
  </sheetData>
  <mergeCells count="1">
    <mergeCell ref="A1:C1"/>
  </mergeCells>
  <conditionalFormatting sqref="B4:C13">
    <cfRule type="expression" priority="2" aboveAverage="0" equalAverage="0" bottom="0" percent="0" rank="0" text="" dxfId="4">
      <formula>ISNA(B4)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44"/>
    <col collapsed="false" customWidth="true" hidden="false" outlineLevel="0" max="3" min="3" style="1" width="58"/>
    <col collapsed="false" customWidth="true" hidden="false" outlineLevel="0" max="4" min="4" style="1" width="24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8" min="8" style="1" width="11"/>
  </cols>
  <sheetData>
    <row r="1" customFormat="false" ht="17.25" hidden="false" customHeight="false" outlineLevel="0" collapsed="false">
      <c r="A1" s="2" t="s">
        <v>82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83</v>
      </c>
      <c r="B2" s="3"/>
      <c r="C2" s="3"/>
      <c r="D2" s="3"/>
      <c r="E2" s="3"/>
      <c r="F2" s="3"/>
      <c r="G2" s="3"/>
      <c r="H2" s="3"/>
    </row>
    <row r="3" customFormat="false" ht="30" hidden="false" customHeight="true" outlineLevel="0" collapsed="false">
      <c r="A3" s="4" t="s">
        <v>84</v>
      </c>
      <c r="B3" s="4" t="s">
        <v>85</v>
      </c>
      <c r="C3" s="4" t="s">
        <v>86</v>
      </c>
      <c r="D3" s="4" t="s">
        <v>87</v>
      </c>
      <c r="E3" s="4" t="s">
        <v>6</v>
      </c>
      <c r="F3" s="4" t="s">
        <v>23</v>
      </c>
      <c r="G3" s="4" t="s">
        <v>88</v>
      </c>
      <c r="H3" s="4" t="s">
        <v>89</v>
      </c>
    </row>
    <row r="4" customFormat="false" ht="27.75" hidden="false" customHeight="false" outlineLevel="0" collapsed="false">
      <c r="A4" s="5" t="s">
        <v>90</v>
      </c>
      <c r="B4" s="8" t="s">
        <v>91</v>
      </c>
      <c r="C4" s="8" t="s">
        <v>92</v>
      </c>
      <c r="D4" s="8" t="s">
        <v>30</v>
      </c>
      <c r="E4" s="5" t="s">
        <v>93</v>
      </c>
      <c r="F4" s="5" t="n">
        <v>21</v>
      </c>
      <c r="G4" s="6" t="n">
        <v>46302</v>
      </c>
      <c r="H4" s="5" t="s">
        <v>94</v>
      </c>
    </row>
    <row r="5" customFormat="false" ht="15" hidden="false" customHeight="false" outlineLevel="0" collapsed="false">
      <c r="A5" s="5" t="s">
        <v>95</v>
      </c>
      <c r="B5" s="8"/>
      <c r="C5" s="8"/>
      <c r="D5" s="8"/>
      <c r="E5" s="5"/>
      <c r="F5" s="5"/>
      <c r="G5" s="6"/>
      <c r="H5" s="5"/>
    </row>
    <row r="6" customFormat="false" ht="15" hidden="false" customHeight="false" outlineLevel="0" collapsed="false">
      <c r="A6" s="5" t="s">
        <v>96</v>
      </c>
      <c r="B6" s="8"/>
      <c r="C6" s="8"/>
      <c r="D6" s="8"/>
      <c r="E6" s="5"/>
      <c r="F6" s="5"/>
      <c r="G6" s="6"/>
      <c r="H6" s="5"/>
    </row>
    <row r="7" customFormat="false" ht="15" hidden="false" customHeight="false" outlineLevel="0" collapsed="false">
      <c r="A7" s="5" t="s">
        <v>97</v>
      </c>
      <c r="B7" s="8"/>
      <c r="C7" s="8"/>
      <c r="D7" s="8"/>
      <c r="E7" s="5"/>
      <c r="F7" s="5"/>
      <c r="G7" s="6"/>
      <c r="H7" s="5"/>
    </row>
    <row r="8" customFormat="false" ht="15" hidden="false" customHeight="false" outlineLevel="0" collapsed="false">
      <c r="A8" s="5" t="s">
        <v>98</v>
      </c>
      <c r="B8" s="8"/>
      <c r="C8" s="8"/>
      <c r="D8" s="8"/>
      <c r="E8" s="5"/>
      <c r="F8" s="5"/>
      <c r="G8" s="6"/>
      <c r="H8" s="5"/>
    </row>
    <row r="9" customFormat="false" ht="15" hidden="false" customHeight="false" outlineLevel="0" collapsed="false">
      <c r="A9" s="5" t="s">
        <v>99</v>
      </c>
      <c r="B9" s="8"/>
      <c r="C9" s="8"/>
      <c r="D9" s="8"/>
      <c r="E9" s="5"/>
      <c r="F9" s="5"/>
      <c r="G9" s="6"/>
      <c r="H9" s="5"/>
    </row>
    <row r="10" customFormat="false" ht="15" hidden="false" customHeight="false" outlineLevel="0" collapsed="false">
      <c r="A10" s="5" t="s">
        <v>100</v>
      </c>
      <c r="B10" s="8"/>
      <c r="C10" s="8"/>
      <c r="D10" s="8"/>
      <c r="E10" s="5"/>
      <c r="F10" s="5"/>
      <c r="G10" s="6"/>
      <c r="H10" s="5"/>
    </row>
    <row r="11" customFormat="false" ht="15" hidden="false" customHeight="false" outlineLevel="0" collapsed="false">
      <c r="A11" s="5" t="s">
        <v>101</v>
      </c>
      <c r="B11" s="8"/>
      <c r="C11" s="8"/>
      <c r="D11" s="8"/>
      <c r="E11" s="5"/>
      <c r="F11" s="5"/>
      <c r="G11" s="6"/>
      <c r="H11" s="5"/>
    </row>
    <row r="12" customFormat="false" ht="15" hidden="false" customHeight="false" outlineLevel="0" collapsed="false">
      <c r="A12" s="5" t="s">
        <v>102</v>
      </c>
      <c r="B12" s="8"/>
      <c r="C12" s="8"/>
      <c r="D12" s="8"/>
      <c r="E12" s="5"/>
      <c r="F12" s="5"/>
      <c r="G12" s="6"/>
      <c r="H12" s="5"/>
    </row>
    <row r="13" customFormat="false" ht="15" hidden="false" customHeight="false" outlineLevel="0" collapsed="false">
      <c r="A13" s="5" t="s">
        <v>103</v>
      </c>
      <c r="B13" s="8"/>
      <c r="C13" s="8"/>
      <c r="D13" s="8"/>
      <c r="E13" s="5"/>
      <c r="F13" s="5"/>
      <c r="G13" s="6"/>
      <c r="H13" s="5"/>
    </row>
    <row r="14" customFormat="false" ht="15" hidden="false" customHeight="false" outlineLevel="0" collapsed="false">
      <c r="A14" s="5" t="s">
        <v>104</v>
      </c>
      <c r="B14" s="8"/>
      <c r="C14" s="8"/>
      <c r="D14" s="8"/>
      <c r="E14" s="5"/>
      <c r="F14" s="5"/>
      <c r="G14" s="6"/>
      <c r="H14" s="5"/>
    </row>
    <row r="15" customFormat="false" ht="15" hidden="false" customHeight="false" outlineLevel="0" collapsed="false">
      <c r="A15" s="5" t="s">
        <v>105</v>
      </c>
      <c r="B15" s="8"/>
      <c r="C15" s="8"/>
      <c r="D15" s="8"/>
      <c r="E15" s="5"/>
      <c r="F15" s="5"/>
      <c r="G15" s="6"/>
      <c r="H15" s="5"/>
    </row>
    <row r="16" customFormat="false" ht="15" hidden="false" customHeight="false" outlineLevel="0" collapsed="false">
      <c r="A16" s="5" t="s">
        <v>106</v>
      </c>
      <c r="B16" s="8"/>
      <c r="C16" s="8"/>
      <c r="D16" s="8"/>
      <c r="E16" s="5"/>
      <c r="F16" s="5"/>
      <c r="G16" s="6"/>
      <c r="H16" s="5"/>
    </row>
    <row r="17" customFormat="false" ht="15" hidden="false" customHeight="false" outlineLevel="0" collapsed="false">
      <c r="A17" s="5" t="s">
        <v>107</v>
      </c>
      <c r="B17" s="8"/>
      <c r="C17" s="8"/>
      <c r="D17" s="8"/>
      <c r="E17" s="5"/>
      <c r="F17" s="5"/>
      <c r="G17" s="6"/>
      <c r="H17" s="5"/>
    </row>
    <row r="18" customFormat="false" ht="15" hidden="false" customHeight="false" outlineLevel="0" collapsed="false">
      <c r="A18" s="5" t="s">
        <v>108</v>
      </c>
      <c r="B18" s="8"/>
      <c r="C18" s="8"/>
      <c r="D18" s="8"/>
      <c r="E18" s="5"/>
      <c r="F18" s="5"/>
      <c r="G18" s="6"/>
      <c r="H18" s="5"/>
    </row>
    <row r="19" customFormat="false" ht="15" hidden="false" customHeight="false" outlineLevel="0" collapsed="false">
      <c r="A19" s="5" t="s">
        <v>109</v>
      </c>
      <c r="B19" s="8"/>
      <c r="C19" s="8"/>
      <c r="D19" s="8"/>
      <c r="E19" s="5"/>
      <c r="F19" s="5"/>
      <c r="G19" s="6"/>
      <c r="H19" s="5"/>
    </row>
    <row r="21" customFormat="false" ht="15" hidden="false" customHeight="false" outlineLevel="0" collapsed="false">
      <c r="D21" s="9" t="s">
        <v>110</v>
      </c>
      <c r="E21" s="9" t="str">
        <f aca="false">COUNTIF(E4:E19,"Corregido")&amp;" de "&amp;COUNTA(B4:B19)</f>
        <v>0 de 1</v>
      </c>
    </row>
  </sheetData>
  <mergeCells count="2">
    <mergeCell ref="A1:H1"/>
    <mergeCell ref="A2:H2"/>
  </mergeCells>
  <conditionalFormatting sqref="E4:E19">
    <cfRule type="cellIs" priority="2" operator="equal" aboveAverage="0" equalAverage="0" bottom="0" percent="0" rank="0" text="" dxfId="0">
      <formula>"Terminado"</formula>
    </cfRule>
    <cfRule type="cellIs" priority="3" operator="equal" aboveAverage="0" equalAverage="0" bottom="0" percent="0" rank="0" text="" dxfId="1">
      <formula>"En desarrollo"</formula>
    </cfRule>
    <cfRule type="cellIs" priority="4" operator="equal" aboveAverage="0" equalAverage="0" bottom="0" percent="0" rank="0" text="" dxfId="2">
      <formula>"Planeado"</formula>
    </cfRule>
    <cfRule type="cellIs" priority="5" operator="equal" aboveAverage="0" equalAverage="0" bottom="0" percent="0" rank="0" text="" dxfId="0">
      <formula>"Corregido"</formula>
    </cfRule>
    <cfRule type="cellIs" priority="6" operator="equal" aboveAverage="0" equalAverage="0" bottom="0" percent="0" rank="0" text="" dxfId="0">
      <formula>"Aprobada"</formula>
    </cfRule>
    <cfRule type="cellIs" priority="7" operator="equal" aboveAverage="0" equalAverage="0" bottom="0" percent="0" rank="0" text="" dxfId="1">
      <formula>"Por verificar"</formula>
    </cfRule>
    <cfRule type="cellIs" priority="8" operator="equal" aboveAverage="0" equalAverage="0" bottom="0" percent="0" rank="0" text="" dxfId="1">
      <formula>"Pendiente"</formula>
    </cfRule>
    <cfRule type="cellIs" priority="9" operator="equal" aboveAverage="0" equalAverage="0" bottom="0" percent="0" rank="0" text="" dxfId="3">
      <formula>"Abierto"</formula>
    </cfRule>
  </conditionalFormatting>
  <dataValidations count="2">
    <dataValidation allowBlank="true" errorStyle="stop" operator="between" showDropDown="false" showErrorMessage="false" showInputMessage="false" sqref="E4:E19" type="list">
      <formula1>"Abierto,Por verificar,Corregido,No se corrige"</formula1>
      <formula2>0</formula2>
    </dataValidation>
    <dataValidation allowBlank="true" errorStyle="stop" operator="between" showDropDown="false" showErrorMessage="false" showInputMessage="false" sqref="H4:H19" type="list">
      <formula1>"Alta,Media,Baja"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20"/>
    <col collapsed="false" customWidth="true" hidden="false" outlineLevel="0" max="4" min="4" style="1" width="11"/>
    <col collapsed="false" customWidth="true" hidden="false" outlineLevel="0" max="5" min="5" style="1" width="12"/>
    <col collapsed="false" customWidth="true" hidden="false" outlineLevel="0" max="6" min="6" style="1" width="18"/>
    <col collapsed="false" customWidth="true" hidden="false" outlineLevel="0" max="8" min="7" style="1" width="10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2" min="11" style="1" width="30"/>
    <col collapsed="false" customWidth="true" hidden="false" outlineLevel="0" max="13" min="13" style="1" width="14"/>
    <col collapsed="false" customWidth="true" hidden="false" outlineLevel="0" max="14" min="14" style="1" width="13"/>
  </cols>
  <sheetData>
    <row r="1" customFormat="false" ht="17.25" hidden="false" customHeight="false" outlineLevel="0" collapsed="false">
      <c r="A1" s="2" t="s">
        <v>111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31.5" hidden="false" customHeight="true" outlineLevel="0" collapsed="false">
      <c r="A3" s="4" t="s">
        <v>113</v>
      </c>
      <c r="B3" s="4" t="s">
        <v>67</v>
      </c>
      <c r="C3" s="4" t="s">
        <v>114</v>
      </c>
      <c r="D3" s="4" t="s">
        <v>115</v>
      </c>
      <c r="E3" s="4" t="s">
        <v>116</v>
      </c>
      <c r="F3" s="4" t="s">
        <v>117</v>
      </c>
      <c r="G3" s="4" t="s">
        <v>118</v>
      </c>
      <c r="H3" s="4" t="s">
        <v>119</v>
      </c>
      <c r="I3" s="4" t="s">
        <v>120</v>
      </c>
      <c r="J3" s="4" t="s">
        <v>121</v>
      </c>
      <c r="K3" s="4" t="s">
        <v>122</v>
      </c>
      <c r="L3" s="4" t="s">
        <v>123</v>
      </c>
      <c r="M3" s="4" t="s">
        <v>124</v>
      </c>
      <c r="N3" s="4" t="s">
        <v>6</v>
      </c>
    </row>
    <row r="4" customFormat="false" ht="15" hidden="false" customHeight="false" outlineLevel="0" collapsed="false">
      <c r="A4" s="5" t="s">
        <v>125</v>
      </c>
      <c r="B4" s="6"/>
      <c r="C4" s="8"/>
      <c r="D4" s="5"/>
      <c r="E4" s="5"/>
      <c r="F4" s="5"/>
      <c r="G4" s="5"/>
      <c r="H4" s="5"/>
      <c r="I4" s="5"/>
      <c r="J4" s="5"/>
      <c r="K4" s="8"/>
      <c r="L4" s="8"/>
      <c r="M4" s="5"/>
      <c r="N4" s="5"/>
    </row>
    <row r="5" customFormat="false" ht="15" hidden="false" customHeight="false" outlineLevel="0" collapsed="false">
      <c r="A5" s="5" t="s">
        <v>126</v>
      </c>
      <c r="B5" s="6"/>
      <c r="C5" s="8"/>
      <c r="D5" s="5"/>
      <c r="E5" s="5"/>
      <c r="F5" s="5"/>
      <c r="G5" s="5"/>
      <c r="H5" s="5"/>
      <c r="I5" s="5"/>
      <c r="J5" s="5"/>
      <c r="K5" s="8"/>
      <c r="L5" s="8"/>
      <c r="M5" s="5"/>
      <c r="N5" s="5"/>
    </row>
    <row r="6" customFormat="false" ht="15" hidden="false" customHeight="false" outlineLevel="0" collapsed="false">
      <c r="A6" s="5" t="s">
        <v>127</v>
      </c>
      <c r="B6" s="6"/>
      <c r="C6" s="8"/>
      <c r="D6" s="5"/>
      <c r="E6" s="5"/>
      <c r="F6" s="5"/>
      <c r="G6" s="5"/>
      <c r="H6" s="5"/>
      <c r="I6" s="5"/>
      <c r="J6" s="5"/>
      <c r="K6" s="8"/>
      <c r="L6" s="8"/>
      <c r="M6" s="5"/>
      <c r="N6" s="5"/>
    </row>
    <row r="7" customFormat="false" ht="15" hidden="false" customHeight="false" outlineLevel="0" collapsed="false">
      <c r="A7" s="5" t="s">
        <v>128</v>
      </c>
      <c r="B7" s="6"/>
      <c r="C7" s="8"/>
      <c r="D7" s="5"/>
      <c r="E7" s="5"/>
      <c r="F7" s="5"/>
      <c r="G7" s="5"/>
      <c r="H7" s="5"/>
      <c r="I7" s="5"/>
      <c r="J7" s="5"/>
      <c r="K7" s="8"/>
      <c r="L7" s="8"/>
      <c r="M7" s="5"/>
      <c r="N7" s="5"/>
    </row>
    <row r="8" customFormat="false" ht="15" hidden="false" customHeight="false" outlineLevel="0" collapsed="false">
      <c r="A8" s="5" t="s">
        <v>129</v>
      </c>
      <c r="B8" s="6"/>
      <c r="C8" s="8"/>
      <c r="D8" s="5"/>
      <c r="E8" s="5"/>
      <c r="F8" s="5"/>
      <c r="G8" s="5"/>
      <c r="H8" s="5"/>
      <c r="I8" s="5"/>
      <c r="J8" s="5"/>
      <c r="K8" s="8"/>
      <c r="L8" s="8"/>
      <c r="M8" s="5"/>
      <c r="N8" s="5"/>
    </row>
    <row r="9" customFormat="false" ht="15" hidden="false" customHeight="false" outlineLevel="0" collapsed="false">
      <c r="A9" s="5" t="s">
        <v>130</v>
      </c>
      <c r="B9" s="6"/>
      <c r="C9" s="8"/>
      <c r="D9" s="5"/>
      <c r="E9" s="5"/>
      <c r="F9" s="5"/>
      <c r="G9" s="5"/>
      <c r="H9" s="5"/>
      <c r="I9" s="5"/>
      <c r="J9" s="5"/>
      <c r="K9" s="8"/>
      <c r="L9" s="8"/>
      <c r="M9" s="5"/>
      <c r="N9" s="5"/>
    </row>
    <row r="10" customFormat="false" ht="15" hidden="false" customHeight="false" outlineLevel="0" collapsed="false">
      <c r="A10" s="5" t="s">
        <v>131</v>
      </c>
      <c r="B10" s="6"/>
      <c r="C10" s="8"/>
      <c r="D10" s="5"/>
      <c r="E10" s="5"/>
      <c r="F10" s="5"/>
      <c r="G10" s="5"/>
      <c r="H10" s="5"/>
      <c r="I10" s="5"/>
      <c r="J10" s="5"/>
      <c r="K10" s="8"/>
      <c r="L10" s="8"/>
      <c r="M10" s="5"/>
      <c r="N10" s="5"/>
    </row>
    <row r="11" customFormat="false" ht="15" hidden="false" customHeight="false" outlineLevel="0" collapsed="false">
      <c r="A11" s="5" t="s">
        <v>132</v>
      </c>
      <c r="B11" s="6"/>
      <c r="C11" s="8"/>
      <c r="D11" s="5"/>
      <c r="E11" s="5"/>
      <c r="F11" s="5"/>
      <c r="G11" s="5"/>
      <c r="H11" s="5"/>
      <c r="I11" s="5"/>
      <c r="J11" s="5"/>
      <c r="K11" s="8"/>
      <c r="L11" s="8"/>
      <c r="M11" s="5"/>
      <c r="N11" s="5"/>
    </row>
    <row r="12" customFormat="false" ht="15" hidden="false" customHeight="false" outlineLevel="0" collapsed="false">
      <c r="A12" s="5" t="s">
        <v>133</v>
      </c>
      <c r="B12" s="6"/>
      <c r="C12" s="8"/>
      <c r="D12" s="5"/>
      <c r="E12" s="5"/>
      <c r="F12" s="5"/>
      <c r="G12" s="5"/>
      <c r="H12" s="5"/>
      <c r="I12" s="5"/>
      <c r="J12" s="5"/>
      <c r="K12" s="8"/>
      <c r="L12" s="8"/>
      <c r="M12" s="5"/>
      <c r="N12" s="5"/>
    </row>
    <row r="13" customFormat="false" ht="15" hidden="false" customHeight="false" outlineLevel="0" collapsed="false">
      <c r="A13" s="5" t="s">
        <v>134</v>
      </c>
      <c r="B13" s="6"/>
      <c r="C13" s="8"/>
      <c r="D13" s="5"/>
      <c r="E13" s="5"/>
      <c r="F13" s="5"/>
      <c r="G13" s="5"/>
      <c r="H13" s="5"/>
      <c r="I13" s="5"/>
      <c r="J13" s="5"/>
      <c r="K13" s="8"/>
      <c r="L13" s="8"/>
      <c r="M13" s="5"/>
      <c r="N13" s="5"/>
    </row>
    <row r="14" customFormat="false" ht="15" hidden="false" customHeight="false" outlineLevel="0" collapsed="false">
      <c r="A14" s="5" t="s">
        <v>135</v>
      </c>
      <c r="B14" s="6"/>
      <c r="C14" s="8"/>
      <c r="D14" s="5"/>
      <c r="E14" s="5"/>
      <c r="F14" s="5"/>
      <c r="G14" s="5"/>
      <c r="H14" s="5"/>
      <c r="I14" s="5"/>
      <c r="J14" s="5"/>
      <c r="K14" s="8"/>
      <c r="L14" s="8"/>
      <c r="M14" s="5"/>
      <c r="N14" s="5"/>
    </row>
    <row r="15" customFormat="false" ht="15" hidden="false" customHeight="false" outlineLevel="0" collapsed="false">
      <c r="A15" s="5" t="s">
        <v>136</v>
      </c>
      <c r="B15" s="6"/>
      <c r="C15" s="8"/>
      <c r="D15" s="5"/>
      <c r="E15" s="5"/>
      <c r="F15" s="5"/>
      <c r="G15" s="5"/>
      <c r="H15" s="5"/>
      <c r="I15" s="5"/>
      <c r="J15" s="5"/>
      <c r="K15" s="8"/>
      <c r="L15" s="8"/>
      <c r="M15" s="5"/>
      <c r="N15" s="5"/>
    </row>
    <row r="16" customFormat="false" ht="15" hidden="false" customHeight="false" outlineLevel="0" collapsed="false">
      <c r="A16" s="5" t="s">
        <v>137</v>
      </c>
      <c r="B16" s="6"/>
      <c r="C16" s="8"/>
      <c r="D16" s="5"/>
      <c r="E16" s="5"/>
      <c r="F16" s="5"/>
      <c r="G16" s="5"/>
      <c r="H16" s="5"/>
      <c r="I16" s="5"/>
      <c r="J16" s="5"/>
      <c r="K16" s="8"/>
      <c r="L16" s="8"/>
      <c r="M16" s="5"/>
      <c r="N16" s="5"/>
    </row>
    <row r="17" customFormat="false" ht="15" hidden="false" customHeight="false" outlineLevel="0" collapsed="false">
      <c r="A17" s="5" t="s">
        <v>138</v>
      </c>
      <c r="B17" s="6"/>
      <c r="C17" s="8"/>
      <c r="D17" s="5"/>
      <c r="E17" s="5"/>
      <c r="F17" s="5"/>
      <c r="G17" s="5"/>
      <c r="H17" s="5"/>
      <c r="I17" s="5"/>
      <c r="J17" s="5"/>
      <c r="K17" s="8"/>
      <c r="L17" s="8"/>
      <c r="M17" s="5"/>
      <c r="N17" s="5"/>
    </row>
    <row r="18" customFormat="false" ht="15" hidden="false" customHeight="false" outlineLevel="0" collapsed="false">
      <c r="A18" s="5" t="s">
        <v>139</v>
      </c>
      <c r="B18" s="6"/>
      <c r="C18" s="8"/>
      <c r="D18" s="5"/>
      <c r="E18" s="5"/>
      <c r="F18" s="5"/>
      <c r="G18" s="5"/>
      <c r="H18" s="5"/>
      <c r="I18" s="5"/>
      <c r="J18" s="5"/>
      <c r="K18" s="8"/>
      <c r="L18" s="8"/>
      <c r="M18" s="5"/>
      <c r="N18" s="5"/>
    </row>
    <row r="20" customFormat="false" ht="15" hidden="false" customHeight="false" outlineLevel="0" collapsed="false">
      <c r="F20" s="9" t="s">
        <v>140</v>
      </c>
      <c r="H20" s="1" t="n">
        <f aca="false">COUNTA(C4:C18)</f>
        <v>0</v>
      </c>
    </row>
    <row r="21" customFormat="false" ht="15" hidden="false" customHeight="false" outlineLevel="0" collapsed="false">
      <c r="F21" s="9" t="s">
        <v>141</v>
      </c>
      <c r="H21" s="1" t="str">
        <f aca="false">IF(COUNT(H4:H18)=0,"",ROUND(AVERAGE(H4:H18),1))</f>
        <v/>
      </c>
    </row>
    <row r="22" customFormat="false" ht="15" hidden="false" customHeight="false" outlineLevel="0" collapsed="false">
      <c r="F22" s="9" t="s">
        <v>142</v>
      </c>
      <c r="H22" s="1" t="str">
        <f aca="false">IF(COUNT(I4:I18)=0,"",ROUND(AVERAGE(I4:I18),1))</f>
        <v/>
      </c>
    </row>
    <row r="23" customFormat="false" ht="15" hidden="false" customHeight="false" outlineLevel="0" collapsed="false">
      <c r="F23" s="9" t="s">
        <v>143</v>
      </c>
      <c r="H23" s="1" t="str">
        <f aca="false">IF(COUNT(J4:J18)=0,"",ROUND(AVERAGE(J4:J18),1))</f>
        <v/>
      </c>
    </row>
    <row r="24" customFormat="false" ht="15" hidden="false" customHeight="false" outlineLevel="0" collapsed="false">
      <c r="F24" s="9" t="s">
        <v>144</v>
      </c>
      <c r="H24" s="1" t="n">
        <f aca="false">COUNTIF(F4:F18,"Terminó el juego")</f>
        <v>0</v>
      </c>
    </row>
  </sheetData>
  <mergeCells count="2">
    <mergeCell ref="A1:N1"/>
    <mergeCell ref="A2:N2"/>
  </mergeCells>
  <conditionalFormatting sqref="N4:N18">
    <cfRule type="cellIs" priority="2" operator="equal" aboveAverage="0" equalAverage="0" bottom="0" percent="0" rank="0" text="" dxfId="0">
      <formula>"Terminado"</formula>
    </cfRule>
    <cfRule type="cellIs" priority="3" operator="equal" aboveAverage="0" equalAverage="0" bottom="0" percent="0" rank="0" text="" dxfId="1">
      <formula>"En desarrollo"</formula>
    </cfRule>
    <cfRule type="cellIs" priority="4" operator="equal" aboveAverage="0" equalAverage="0" bottom="0" percent="0" rank="0" text="" dxfId="2">
      <formula>"Planeado"</formula>
    </cfRule>
    <cfRule type="cellIs" priority="5" operator="equal" aboveAverage="0" equalAverage="0" bottom="0" percent="0" rank="0" text="" dxfId="0">
      <formula>"Corregido"</formula>
    </cfRule>
    <cfRule type="cellIs" priority="6" operator="equal" aboveAverage="0" equalAverage="0" bottom="0" percent="0" rank="0" text="" dxfId="0">
      <formula>"Aprobada"</formula>
    </cfRule>
    <cfRule type="cellIs" priority="7" operator="equal" aboveAverage="0" equalAverage="0" bottom="0" percent="0" rank="0" text="" dxfId="1">
      <formula>"Por verificar"</formula>
    </cfRule>
    <cfRule type="cellIs" priority="8" operator="equal" aboveAverage="0" equalAverage="0" bottom="0" percent="0" rank="0" text="" dxfId="1">
      <formula>"Pendiente"</formula>
    </cfRule>
    <cfRule type="cellIs" priority="9" operator="equal" aboveAverage="0" equalAverage="0" bottom="0" percent="0" rank="0" text="" dxfId="3">
      <formula>"Abierto"</formula>
    </cfRule>
  </conditionalFormatting>
  <dataValidations count="5">
    <dataValidation allowBlank="true" errorStyle="stop" operator="between" showDropDown="false" showErrorMessage="false" showInputMessage="false" sqref="D4:D18" type="list">
      <formula1>"Cerrada,Abierta"</formula1>
      <formula2>0</formula2>
    </dataValidation>
    <dataValidation allowBlank="true" errorStyle="stop" operator="between" showDropDown="false" showErrorMessage="false" showInputMessage="false" sqref="E4:E18" type="list">
      <formula1>"Teclado,Control PS4,Control Xbox"</formula1>
      <formula2>0</formula2>
    </dataValidation>
    <dataValidation allowBlank="true" errorStyle="stop" operator="between" showDropDown="false" showErrorMessage="false" showInputMessage="false" sqref="F4:F18" type="list">
      <formula1>"Aprendizaje,Fuego,Hielo,Viento,Corazón,Terminó el juego"</formula1>
      <formula2>0</formula2>
    </dataValidation>
    <dataValidation allowBlank="true" errorStyle="stop" operator="between" showDropDown="false" showErrorMessage="false" showInputMessage="false" sqref="N4:N18" type="list">
      <formula1>"Pendiente,Registrada,Atendida"</formula1>
      <formula2>0</formula2>
    </dataValidation>
    <dataValidation allowBlank="true" errorStyle="stop" operator="between" showDropDown="false" showErrorMessage="false" showInputMessage="false" sqref="H4:J18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6"/>
    <col collapsed="false" customWidth="true" hidden="false" outlineLevel="0" max="4" min="3" style="1" width="10"/>
    <col collapsed="false" customWidth="true" hidden="false" outlineLevel="0" max="5" min="5" style="1" width="7"/>
    <col collapsed="false" customWidth="true" hidden="false" outlineLevel="0" max="6" min="6" style="1" width="14"/>
    <col collapsed="false" customWidth="true" hidden="false" outlineLevel="0" max="20" min="7" style="1" width="4.2"/>
  </cols>
  <sheetData>
    <row r="1" customFormat="false" ht="17.25" hidden="false" customHeight="false" outlineLevel="0" collapsed="false">
      <c r="A1" s="15" t="s">
        <v>145</v>
      </c>
    </row>
    <row r="2" customFormat="false" ht="15" hidden="false" customHeight="false" outlineLevel="0" collapsed="false">
      <c r="A2" s="14" t="s">
        <v>146</v>
      </c>
    </row>
    <row r="3" customFormat="false" ht="15" hidden="false" customHeight="false" outlineLevel="0" collapsed="false">
      <c r="G3" s="16" t="s">
        <v>147</v>
      </c>
      <c r="H3" s="16" t="s">
        <v>148</v>
      </c>
      <c r="I3" s="16"/>
      <c r="J3" s="16"/>
      <c r="K3" s="16"/>
      <c r="L3" s="16" t="s">
        <v>149</v>
      </c>
      <c r="M3" s="16"/>
      <c r="N3" s="16"/>
      <c r="O3" s="16"/>
      <c r="P3" s="16" t="s">
        <v>150</v>
      </c>
      <c r="Q3" s="16"/>
      <c r="R3" s="16"/>
      <c r="S3" s="16"/>
      <c r="T3" s="16"/>
    </row>
    <row r="4" customFormat="false" ht="15" hidden="false" customHeight="false" outlineLevel="0" collapsed="false">
      <c r="A4" s="4" t="s">
        <v>151</v>
      </c>
      <c r="B4" s="4" t="s">
        <v>152</v>
      </c>
      <c r="C4" s="4" t="s">
        <v>3</v>
      </c>
      <c r="D4" s="4" t="s">
        <v>5</v>
      </c>
      <c r="E4" s="4" t="s">
        <v>4</v>
      </c>
      <c r="F4" s="4" t="s">
        <v>6</v>
      </c>
      <c r="G4" s="17" t="n">
        <v>46265</v>
      </c>
      <c r="H4" s="17" t="n">
        <v>46272</v>
      </c>
      <c r="I4" s="17" t="n">
        <v>46279</v>
      </c>
      <c r="J4" s="17" t="n">
        <v>46286</v>
      </c>
      <c r="K4" s="17" t="n">
        <v>46293</v>
      </c>
      <c r="L4" s="17" t="n">
        <v>46300</v>
      </c>
      <c r="M4" s="17" t="n">
        <v>46307</v>
      </c>
      <c r="N4" s="17" t="n">
        <v>46314</v>
      </c>
      <c r="O4" s="17" t="n">
        <v>46321</v>
      </c>
      <c r="P4" s="17" t="n">
        <v>46328</v>
      </c>
      <c r="Q4" s="17" t="n">
        <v>46335</v>
      </c>
      <c r="R4" s="17" t="n">
        <v>46342</v>
      </c>
      <c r="S4" s="17" t="n">
        <v>46349</v>
      </c>
      <c r="T4" s="17" t="n">
        <v>46356</v>
      </c>
    </row>
    <row r="5" customFormat="false" ht="15" hidden="false" customHeight="false" outlineLevel="0" collapsed="false">
      <c r="A5" s="5" t="s">
        <v>153</v>
      </c>
      <c r="B5" s="8" t="s">
        <v>154</v>
      </c>
      <c r="C5" s="18" t="n">
        <v>46266</v>
      </c>
      <c r="D5" s="18" t="n">
        <v>46283</v>
      </c>
      <c r="E5" s="5" t="n">
        <f aca="false">D5-C5+1</f>
        <v>18</v>
      </c>
      <c r="F5" s="5" t="s">
        <v>9</v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 customFormat="false" ht="15" hidden="false" customHeight="false" outlineLevel="0" collapsed="false">
      <c r="A6" s="5" t="s">
        <v>153</v>
      </c>
      <c r="B6" s="8" t="s">
        <v>155</v>
      </c>
      <c r="C6" s="18" t="n">
        <v>46266</v>
      </c>
      <c r="D6" s="18" t="n">
        <v>46283</v>
      </c>
      <c r="E6" s="5" t="n">
        <f aca="false">D6-C6+1</f>
        <v>18</v>
      </c>
      <c r="F6" s="5" t="s">
        <v>9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</row>
    <row r="7" customFormat="false" ht="15" hidden="false" customHeight="false" outlineLevel="0" collapsed="false">
      <c r="A7" s="5" t="s">
        <v>153</v>
      </c>
      <c r="B7" s="8" t="s">
        <v>156</v>
      </c>
      <c r="C7" s="18" t="n">
        <v>46283</v>
      </c>
      <c r="D7" s="18" t="n">
        <v>46283</v>
      </c>
      <c r="E7" s="5" t="n">
        <f aca="false">D7-C7+1</f>
        <v>1</v>
      </c>
      <c r="F7" s="5" t="s">
        <v>9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</row>
    <row r="8" customFormat="false" ht="15" hidden="false" customHeight="false" outlineLevel="0" collapsed="false">
      <c r="A8" s="5" t="s">
        <v>157</v>
      </c>
      <c r="B8" s="8" t="s">
        <v>158</v>
      </c>
      <c r="C8" s="18" t="n">
        <v>46284</v>
      </c>
      <c r="D8" s="18" t="n">
        <v>46295</v>
      </c>
      <c r="E8" s="5" t="n">
        <f aca="false">D8-C8+1</f>
        <v>12</v>
      </c>
      <c r="F8" s="5" t="s">
        <v>9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</row>
    <row r="9" customFormat="false" ht="15" hidden="false" customHeight="false" outlineLevel="0" collapsed="false">
      <c r="A9" s="5" t="s">
        <v>157</v>
      </c>
      <c r="B9" s="8" t="s">
        <v>159</v>
      </c>
      <c r="C9" s="18" t="n">
        <v>46296</v>
      </c>
      <c r="D9" s="18" t="n">
        <v>46299</v>
      </c>
      <c r="E9" s="5" t="n">
        <f aca="false">D9-C9+1</f>
        <v>4</v>
      </c>
      <c r="F9" s="5" t="s">
        <v>9</v>
      </c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</row>
    <row r="10" customFormat="false" ht="15" hidden="false" customHeight="false" outlineLevel="0" collapsed="false">
      <c r="A10" s="5" t="s">
        <v>157</v>
      </c>
      <c r="B10" s="8" t="s">
        <v>160</v>
      </c>
      <c r="C10" s="18" t="n">
        <v>46300</v>
      </c>
      <c r="D10" s="18" t="n">
        <v>46300</v>
      </c>
      <c r="E10" s="5" t="n">
        <f aca="false">D10-C10+1</f>
        <v>1</v>
      </c>
      <c r="F10" s="5" t="s">
        <v>9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</row>
    <row r="11" customFormat="false" ht="27.75" hidden="false" customHeight="false" outlineLevel="0" collapsed="false">
      <c r="A11" s="5" t="s">
        <v>157</v>
      </c>
      <c r="B11" s="8" t="s">
        <v>161</v>
      </c>
      <c r="C11" s="18" t="n">
        <v>46302</v>
      </c>
      <c r="D11" s="18" t="n">
        <v>46308</v>
      </c>
      <c r="E11" s="5" t="n">
        <f aca="false">D11-C11+1</f>
        <v>7</v>
      </c>
      <c r="F11" s="5" t="s">
        <v>9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</row>
    <row r="12" customFormat="false" ht="15" hidden="false" customHeight="false" outlineLevel="0" collapsed="false">
      <c r="A12" s="5" t="s">
        <v>157</v>
      </c>
      <c r="B12" s="8" t="s">
        <v>162</v>
      </c>
      <c r="C12" s="18" t="n">
        <v>46302</v>
      </c>
      <c r="D12" s="18" t="n">
        <v>46325</v>
      </c>
      <c r="E12" s="5" t="n">
        <f aca="false">D12-C12+1</f>
        <v>24</v>
      </c>
      <c r="F12" s="5" t="s">
        <v>14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</row>
    <row r="13" customFormat="false" ht="27.75" hidden="false" customHeight="false" outlineLevel="0" collapsed="false">
      <c r="A13" s="5" t="s">
        <v>157</v>
      </c>
      <c r="B13" s="8" t="s">
        <v>163</v>
      </c>
      <c r="C13" s="18" t="n">
        <v>46310</v>
      </c>
      <c r="D13" s="18" t="n">
        <v>46316</v>
      </c>
      <c r="E13" s="5" t="n">
        <f aca="false">D13-C13+1</f>
        <v>7</v>
      </c>
      <c r="F13" s="5" t="s">
        <v>9</v>
      </c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customFormat="false" ht="15" hidden="false" customHeight="false" outlineLevel="0" collapsed="false">
      <c r="A14" s="5" t="s">
        <v>157</v>
      </c>
      <c r="B14" s="8" t="s">
        <v>164</v>
      </c>
      <c r="C14" s="18" t="n">
        <v>46317</v>
      </c>
      <c r="D14" s="18" t="n">
        <v>46317</v>
      </c>
      <c r="E14" s="5" t="n">
        <f aca="false">D14-C14+1</f>
        <v>1</v>
      </c>
      <c r="F14" s="5" t="s">
        <v>9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 customFormat="false" ht="15" hidden="false" customHeight="false" outlineLevel="0" collapsed="false">
      <c r="A15" s="5" t="s">
        <v>157</v>
      </c>
      <c r="B15" s="8" t="s">
        <v>165</v>
      </c>
      <c r="C15" s="18" t="n">
        <v>46325</v>
      </c>
      <c r="D15" s="18" t="n">
        <v>46325</v>
      </c>
      <c r="E15" s="5" t="n">
        <f aca="false">D15-C15+1</f>
        <v>1</v>
      </c>
      <c r="F15" s="5" t="s">
        <v>17</v>
      </c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 customFormat="false" ht="15" hidden="false" customHeight="false" outlineLevel="0" collapsed="false">
      <c r="A16" s="5" t="s">
        <v>166</v>
      </c>
      <c r="B16" s="8" t="s">
        <v>167</v>
      </c>
      <c r="C16" s="18" t="n">
        <v>46326</v>
      </c>
      <c r="D16" s="18" t="n">
        <v>46333</v>
      </c>
      <c r="E16" s="5" t="n">
        <f aca="false">D16-C16+1</f>
        <v>8</v>
      </c>
      <c r="F16" s="5" t="s">
        <v>17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</row>
    <row r="17" customFormat="false" ht="15" hidden="false" customHeight="false" outlineLevel="0" collapsed="false">
      <c r="A17" s="5" t="s">
        <v>166</v>
      </c>
      <c r="B17" s="8" t="s">
        <v>168</v>
      </c>
      <c r="C17" s="18" t="n">
        <v>46329</v>
      </c>
      <c r="D17" s="18" t="n">
        <v>46338</v>
      </c>
      <c r="E17" s="5" t="n">
        <f aca="false">D17-C17+1</f>
        <v>10</v>
      </c>
      <c r="F17" s="5" t="s">
        <v>17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</row>
    <row r="18" customFormat="false" ht="15" hidden="false" customHeight="false" outlineLevel="0" collapsed="false">
      <c r="A18" s="5" t="s">
        <v>166</v>
      </c>
      <c r="B18" s="8" t="s">
        <v>169</v>
      </c>
      <c r="C18" s="18" t="n">
        <v>46331</v>
      </c>
      <c r="D18" s="18" t="n">
        <v>46343</v>
      </c>
      <c r="E18" s="5" t="n">
        <f aca="false">D18-C18+1</f>
        <v>13</v>
      </c>
      <c r="F18" s="5" t="s">
        <v>17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</row>
    <row r="19" customFormat="false" ht="15" hidden="false" customHeight="false" outlineLevel="0" collapsed="false">
      <c r="A19" s="5" t="s">
        <v>166</v>
      </c>
      <c r="B19" s="8" t="s">
        <v>170</v>
      </c>
      <c r="C19" s="18" t="n">
        <v>46315</v>
      </c>
      <c r="D19" s="18" t="n">
        <v>46346</v>
      </c>
      <c r="E19" s="5" t="n">
        <f aca="false">D19-C19+1</f>
        <v>32</v>
      </c>
      <c r="F19" s="5" t="s">
        <v>14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customFormat="false" ht="15" hidden="false" customHeight="false" outlineLevel="0" collapsed="false">
      <c r="A20" s="5" t="s">
        <v>166</v>
      </c>
      <c r="B20" s="8" t="s">
        <v>171</v>
      </c>
      <c r="C20" s="18" t="n">
        <v>46346</v>
      </c>
      <c r="D20" s="18" t="n">
        <v>46346</v>
      </c>
      <c r="E20" s="5" t="n">
        <f aca="false">D20-C20+1</f>
        <v>1</v>
      </c>
      <c r="F20" s="5" t="s">
        <v>17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</row>
    <row r="21" customFormat="false" ht="15" hidden="false" customHeight="false" outlineLevel="0" collapsed="false">
      <c r="A21" s="5" t="s">
        <v>172</v>
      </c>
      <c r="B21" s="8" t="s">
        <v>173</v>
      </c>
      <c r="C21" s="18" t="n">
        <v>46347</v>
      </c>
      <c r="D21" s="18" t="n">
        <v>46353</v>
      </c>
      <c r="E21" s="5" t="n">
        <f aca="false">D21-C21+1</f>
        <v>7</v>
      </c>
      <c r="F21" s="5" t="s">
        <v>17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</row>
    <row r="22" customFormat="false" ht="15" hidden="false" customHeight="false" outlineLevel="0" collapsed="false">
      <c r="A22" s="5" t="s">
        <v>172</v>
      </c>
      <c r="B22" s="8" t="s">
        <v>174</v>
      </c>
      <c r="C22" s="18" t="n">
        <v>46347</v>
      </c>
      <c r="D22" s="18" t="n">
        <v>46355</v>
      </c>
      <c r="E22" s="5" t="n">
        <f aca="false">D22-C22+1</f>
        <v>9</v>
      </c>
      <c r="F22" s="5" t="s">
        <v>17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</row>
    <row r="23" customFormat="false" ht="15" hidden="false" customHeight="false" outlineLevel="0" collapsed="false">
      <c r="A23" s="5" t="s">
        <v>172</v>
      </c>
      <c r="B23" s="8" t="s">
        <v>175</v>
      </c>
      <c r="C23" s="18" t="n">
        <v>46356</v>
      </c>
      <c r="D23" s="18" t="n">
        <v>46356</v>
      </c>
      <c r="E23" s="5" t="n">
        <f aca="false">D23-C23+1</f>
        <v>1</v>
      </c>
      <c r="F23" s="5" t="s">
        <v>17</v>
      </c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</row>
    <row r="25" customFormat="false" ht="15" hidden="false" customHeight="false" outlineLevel="0" collapsed="false">
      <c r="B25" s="14" t="s">
        <v>176</v>
      </c>
    </row>
  </sheetData>
  <conditionalFormatting sqref="G5:T23">
    <cfRule type="expression" priority="2" aboveAverage="0" equalAverage="0" bottom="0" percent="0" rank="0" text="" dxfId="5">
      <formula>AND(AND(G$4&lt;=$D5,G$4+6&gt;=$C5),$F5="Terminado")</formula>
    </cfRule>
    <cfRule type="expression" priority="3" aboveAverage="0" equalAverage="0" bottom="0" percent="0" rank="0" text="" dxfId="6">
      <formula>AND(AND(G$4&lt;=$D5,G$4+6&gt;=$C5),$F5="En desarrollo")</formula>
    </cfRule>
    <cfRule type="expression" priority="4" aboveAverage="0" equalAverage="0" bottom="0" percent="0" rank="0" text="" dxfId="7">
      <formula>AND(AND(G$4&lt;=$D5,G$4+6&gt;=$C5),$F5="Planeado")</formula>
    </cfRule>
  </conditionalFormatting>
  <conditionalFormatting sqref="G4:T4">
    <cfRule type="expression" priority="5" aboveAverage="0" equalAverage="0" bottom="0" percent="0" rank="0" text="" dxfId="8">
      <formula>AND(TODAY()&gt;=G$4,TODAY()&lt;=G$4+6)</formula>
    </cfRule>
  </conditionalFormatting>
  <conditionalFormatting sqref="F5:F23">
    <cfRule type="cellIs" priority="6" operator="equal" aboveAverage="0" equalAverage="0" bottom="0" percent="0" rank="0" text="" dxfId="0">
      <formula>"Terminado"</formula>
    </cfRule>
    <cfRule type="cellIs" priority="7" operator="equal" aboveAverage="0" equalAverage="0" bottom="0" percent="0" rank="0" text="" dxfId="1">
      <formula>"En desarrollo"</formula>
    </cfRule>
    <cfRule type="cellIs" priority="8" operator="equal" aboveAverage="0" equalAverage="0" bottom="0" percent="0" rank="0" text="" dxfId="2">
      <formula>"Planeado"</formula>
    </cfRule>
    <cfRule type="cellIs" priority="9" operator="equal" aboveAverage="0" equalAverage="0" bottom="0" percent="0" rank="0" text="" dxfId="0">
      <formula>"Corregido"</formula>
    </cfRule>
    <cfRule type="cellIs" priority="10" operator="equal" aboveAverage="0" equalAverage="0" bottom="0" percent="0" rank="0" text="" dxfId="0">
      <formula>"Aprobada"</formula>
    </cfRule>
    <cfRule type="cellIs" priority="11" operator="equal" aboveAverage="0" equalAverage="0" bottom="0" percent="0" rank="0" text="" dxfId="1">
      <formula>"Por verificar"</formula>
    </cfRule>
    <cfRule type="cellIs" priority="12" operator="equal" aboveAverage="0" equalAverage="0" bottom="0" percent="0" rank="0" text="" dxfId="1">
      <formula>"Pendiente"</formula>
    </cfRule>
    <cfRule type="cellIs" priority="13" operator="equal" aboveAverage="0" equalAverage="0" bottom="0" percent="0" rank="0" text="" dxfId="3">
      <formula>"Abierto"</formula>
    </cfRule>
  </conditionalFormatting>
  <dataValidations count="1">
    <dataValidation allowBlank="true" errorStyle="stop" operator="between" showDropDown="false" showErrorMessage="false" showInputMessage="false" sqref="F5:F23" type="list">
      <formula1>"Terminado,En desarrollo,Planeado"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95"/>
  </cols>
  <sheetData>
    <row r="1" customFormat="false" ht="17.25" hidden="false" customHeight="false" outlineLevel="0" collapsed="false">
      <c r="A1" s="2" t="s">
        <v>177</v>
      </c>
      <c r="B1" s="2"/>
    </row>
    <row r="3" customFormat="false" ht="27.75" hidden="false" customHeight="false" outlineLevel="0" collapsed="false">
      <c r="A3" s="20" t="s">
        <v>178</v>
      </c>
      <c r="B3" s="8" t="s">
        <v>179</v>
      </c>
    </row>
    <row r="4" customFormat="false" ht="15" hidden="false" customHeight="false" outlineLevel="0" collapsed="false">
      <c r="A4" s="20" t="s">
        <v>180</v>
      </c>
      <c r="B4" s="8" t="str">
        <f aca="false">COUNTIF('Sprint Backlog'!$F$4:$F$19,"Terminado")&amp;" de "&amp;COUNTA('Sprint Backlog'!$A$4:$A$19)</f>
        <v>2 de 16</v>
      </c>
    </row>
    <row r="5" customFormat="false" ht="15" hidden="false" customHeight="false" outlineLevel="0" collapsed="false">
      <c r="A5" s="20" t="s">
        <v>181</v>
      </c>
      <c r="B5" s="8" t="str">
        <f aca="false">SUMIF('Sprint Backlog'!$F$4:$F$19,"Terminado",'Sprint Backlog'!$G$4:$G$19)&amp;" de "&amp;'Sprint Backlog'!$G$21&amp;" hrs"</f>
        <v>3 de 43 hrs</v>
      </c>
    </row>
    <row r="6" customFormat="false" ht="15" hidden="false" customHeight="false" outlineLevel="0" collapsed="false">
      <c r="A6" s="20" t="s">
        <v>182</v>
      </c>
      <c r="B6" s="8" t="n">
        <f aca="false">'Pruebas Beta'!H20</f>
        <v>0</v>
      </c>
    </row>
    <row r="7" customFormat="false" ht="15" hidden="false" customHeight="false" outlineLevel="0" collapsed="false">
      <c r="A7" s="20" t="s">
        <v>183</v>
      </c>
      <c r="B7" s="8" t="str">
        <f aca="false">Buglist!E21</f>
        <v>0 de 1</v>
      </c>
    </row>
    <row r="8" customFormat="false" ht="45" hidden="false" customHeight="true" outlineLevel="0" collapsed="false">
      <c r="A8" s="20" t="s">
        <v>184</v>
      </c>
      <c r="B8" s="8"/>
    </row>
    <row r="9" customFormat="false" ht="45" hidden="false" customHeight="true" outlineLevel="0" collapsed="false">
      <c r="A9" s="20" t="s">
        <v>185</v>
      </c>
      <c r="B9" s="8"/>
    </row>
    <row r="10" customFormat="false" ht="45" hidden="false" customHeight="true" outlineLevel="0" collapsed="false">
      <c r="A10" s="20" t="s">
        <v>186</v>
      </c>
      <c r="B10" s="8"/>
    </row>
    <row r="11" customFormat="false" ht="45" hidden="false" customHeight="true" outlineLevel="0" collapsed="false">
      <c r="A11" s="20" t="s">
        <v>187</v>
      </c>
      <c r="B11" s="8"/>
    </row>
    <row r="12" customFormat="false" ht="15" hidden="false" customHeight="false" outlineLevel="0" collapsed="false">
      <c r="A12" s="20" t="s">
        <v>188</v>
      </c>
      <c r="B12" s="8" t="s">
        <v>189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2026-10-22T09:04:39Z</dcterms:created>
  <dc:creator>Alejandro Pérez Alcántara</dc:creator>
  <dc:description/>
  <dc:language>es-MX</dc:language>
  <cp:lastModifiedBy/>
  <dcterms:modified xsi:type="dcterms:W3CDTF">2026-10-22T03:04:54Z</dcterms:modified>
  <cp:revision>2</cp:revision>
  <dc:subject/>
  <dc:title>Producción Ecos del Grimorio - Sprint 3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