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ature Log" sheetId="1" state="visible" r:id="rId3"/>
    <sheet name="Sprint Plan" sheetId="2" state="visible" r:id="rId4"/>
    <sheet name="Sprint Backlog" sheetId="3" state="visible" r:id="rId5"/>
    <sheet name="Daily Huddle" sheetId="4" state="visible" r:id="rId6"/>
    <sheet name="Project Chart" sheetId="5" state="visible" r:id="rId7"/>
    <sheet name="Burn-down Chart" sheetId="6" state="visible" r:id="rId8"/>
    <sheet name="Task Chart" sheetId="7" state="visible" r:id="rId9"/>
    <sheet name="Buglist" sheetId="8" state="visible" r:id="rId10"/>
    <sheet name="Pruebas Alfa" sheetId="9" state="visible" r:id="rId11"/>
    <sheet name="Matriz GDD" sheetId="10" state="visible" r:id="rId12"/>
    <sheet name="Sprint Review" sheetId="11" state="visible" r:id="rId13"/>
    <sheet name="Pruebas Beta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<sst xmlns="http://schemas.openxmlformats.org/spreadsheetml/2006/main" count="775" uniqueCount="506">
  <si>
    <t xml:space="preserve">FEATURE LOG - ECOS DEL GRIMORIO (actualizado al Sprint 2)</t>
  </si>
  <si>
    <t xml:space="preserve">Los features 1 a 14 vienen del Feature Log inicial (GDD 3.1); del 15 al 26 se agregaron en el Sprint 2 para cubrir secciones del GDD que no tenían feature; el 27 salió de las pruebas.</t>
  </si>
  <si>
    <t xml:space="preserve">Featureid</t>
  </si>
  <si>
    <t xml:space="preserve">Nombre</t>
  </si>
  <si>
    <t xml:space="preserve">Estado</t>
  </si>
  <si>
    <t xml:space="preserve">Días</t>
  </si>
  <si>
    <t xml:space="preserve">Sprintid</t>
  </si>
  <si>
    <t xml:space="preserve">Comentarios</t>
  </si>
  <si>
    <t xml:space="preserve">Movimiento y salto del jugador</t>
  </si>
  <si>
    <t xml:space="preserve">Terminado</t>
  </si>
  <si>
    <t xml:space="preserve">PlayerController.cs: aceleración, coyote time, búfer de salto, esquive, agacharse y planeo</t>
  </si>
  <si>
    <t xml:space="preserve">Sistema de maná y hechizo Arcano</t>
  </si>
  <si>
    <t xml:space="preserve">SpellCaster.cs + SpellData.cs; tres espacios de hechizo</t>
  </si>
  <si>
    <t xml:space="preserve">IA de patrulla/persecución básica</t>
  </si>
  <si>
    <t xml:space="preserve">EnemyBase.cs → EnemyAI, FlyingEnemyAI, RangedEnemyAI</t>
  </si>
  <si>
    <t xml:space="preserve">Sistema de vida (jugador/enemigos)</t>
  </si>
  <si>
    <t xml:space="preserve">Health.cs + IDamageable, resistencias por elemento</t>
  </si>
  <si>
    <t xml:space="preserve">Hechizo de Fuego y combo Explosión Arcana</t>
  </si>
  <si>
    <t xml:space="preserve">Se adelantó al Sprint 2</t>
  </si>
  <si>
    <t xml:space="preserve">Ala de Fuego completa con jefe Kaelor (Nivel 2)</t>
  </si>
  <si>
    <t xml:space="preserve">KaelorBoss.cs, 2 fases</t>
  </si>
  <si>
    <t xml:space="preserve">Hechizo de Hielo y combo Vapor Cegador</t>
  </si>
  <si>
    <t xml:space="preserve">Congela al tercer golpe (2.11)</t>
  </si>
  <si>
    <t xml:space="preserve">Ala de Hielo completa con jefa Isolde (Nivel 3)</t>
  </si>
  <si>
    <t xml:space="preserve">IsoldeBoss.cs, congela el suelo</t>
  </si>
  <si>
    <t xml:space="preserve">Hechizo de Viento y combos Granizo Cortante / Tormenta de Ascuas</t>
  </si>
  <si>
    <t xml:space="preserve">Planeado para Sprint 3, se adelantó</t>
  </si>
  <si>
    <t xml:space="preserve">Ala de Viento completa con jefe Threnody y plataformas móviles (Nivel 4)</t>
  </si>
  <si>
    <t xml:space="preserve">Corazón del Grimorio: Ecos Menores, Guardián Espejo y jefe final multifase (Nivel 5)</t>
  </si>
  <si>
    <t xml:space="preserve">ElenoraBoss.cs, 4 fases + final. Final del juego corregido el 7 de octubre</t>
  </si>
  <si>
    <t xml:space="preserve">Sistema de Logros (AchievementManager basado en eventos)</t>
  </si>
  <si>
    <t xml:space="preserve">10 logros, se adelantó del Sprint 4</t>
  </si>
  <si>
    <t xml:space="preserve">Sistema de truco / Easter egg (Modo Archimaga)</t>
  </si>
  <si>
    <t xml:space="preserve">Teclado F-H-V-A + Enter; control L1 + R1 + Triángulo</t>
  </si>
  <si>
    <t xml:space="preserve">Integración final, pulido y Gold Master</t>
  </si>
  <si>
    <t xml:space="preserve">En desarrollo</t>
  </si>
  <si>
    <t xml:space="preserve">3-4</t>
  </si>
  <si>
    <t xml:space="preserve">Pruebas Alfa en curso; Beta y Gold Master en Sprints 3 y 4</t>
  </si>
  <si>
    <t xml:space="preserve">Menú principal, pausa, Game Over y guardado (2.4, 2.5, 2.6)</t>
  </si>
  <si>
    <t xml:space="preserve">Agregado en Sprint 2 desde el GDD</t>
  </si>
  <si>
    <t xml:space="preserve">Pantalla de Opciones (2.5, 2.6)</t>
  </si>
  <si>
    <t xml:space="preserve">Volumen de música, efectos y voces, pantalla completa y vibración</t>
  </si>
  <si>
    <t xml:space="preserve">HUD y pantalla de resultados por ala (2.6)</t>
  </si>
  <si>
    <t xml:space="preserve">Tiempo, enemigos, daño, páginas, secretos</t>
  </si>
  <si>
    <t xml:space="preserve">Historia: prólogo, diálogos, epílogo y créditos (2.14)</t>
  </si>
  <si>
    <t xml:space="preserve">Prologo.cs, NPCDialogue.cs, CreditsScreen.cs</t>
  </si>
  <si>
    <t xml:space="preserve">Música, efectos de sonido y voces (2.17)</t>
  </si>
  <si>
    <t xml:space="preserve">9 pistas, 41 efectos (12 agregados el 15 oct) y voces por personaje</t>
  </si>
  <si>
    <t xml:space="preserve">Control de PS4 / Xbox y vibración (2.4)</t>
  </si>
  <si>
    <t xml:space="preserve">New Input System</t>
  </si>
  <si>
    <t xml:space="preserve">Habilidades elementales y acertijos ambientales (2.1, 2.3, 2.11)</t>
  </si>
  <si>
    <t xml:space="preserve">Zarzas, muros de hielo, cajas, placas y puertas rúnicas</t>
  </si>
  <si>
    <t xml:space="preserve">Armas de los enemigos (2.12)</t>
  </si>
  <si>
    <t xml:space="preserve">ArmaEnemigo.cs: Garras, Lanza, Embestida</t>
  </si>
  <si>
    <t xml:space="preserve">Ítems, coleccionables y salas secretas (2.8, 2.13)</t>
  </si>
  <si>
    <t xml:space="preserve">Páginas Perdidas, vasijas, cofres y fragmentos</t>
  </si>
  <si>
    <t xml:space="preserve">Build del juego para Windows (.exe) (5.1)</t>
  </si>
  <si>
    <t xml:space="preserve">2-3</t>
  </si>
  <si>
    <t xml:space="preserve">Menú Ecos del Grimorio &gt; Compilar juego (.exe). Primera compilación el 13 oct y versión 1.0 el 20 oct; falta probarlo en otra computadora</t>
  </si>
  <si>
    <t xml:space="preserve">Documentación del Producto 2 (producción y evidencias)</t>
  </si>
  <si>
    <t xml:space="preserve">Documento Word/PDF, manual del jugador y este libro de Excel</t>
  </si>
  <si>
    <t xml:space="preserve">Pruebas Beta y reporte Postmortem</t>
  </si>
  <si>
    <t xml:space="preserve">Planeado</t>
  </si>
  <si>
    <t xml:space="preserve">Jugadores externos; plantilla de Postmortem de Huddle</t>
  </si>
  <si>
    <t xml:space="preserve">Ayudas al jugador: ayuda para apuntar, sentido arcano y saltar nivel</t>
  </si>
  <si>
    <t xml:space="preserve">Agregado después de las pruebas del 14 y 15 de octubre y de la revisión en clase</t>
  </si>
  <si>
    <t xml:space="preserve">SPRINT PLAN - ECOS DEL GRIMORIO (replaneado en el Sprint 2)</t>
  </si>
  <si>
    <t xml:space="preserve">Cambio respecto al plan inicial: los features 9 a 13 (Ala de Viento, Corazón del Grimorio, Logros y Modo Archimaga) se adelantaron al Sprint 2.</t>
  </si>
  <si>
    <t xml:space="preserve">Inicio</t>
  </si>
  <si>
    <t xml:space="preserve">Fin</t>
  </si>
  <si>
    <t xml:space="preserve">Meta</t>
  </si>
  <si>
    <t xml:space="preserve">Entrega</t>
  </si>
  <si>
    <t xml:space="preserve">Preproducción y arte: GDD, bocetos, arte conceptual de personajes, enemigos, fondos, ítems y UI.</t>
  </si>
  <si>
    <t xml:space="preserve">Producto 1 (18 sep)</t>
  </si>
  <si>
    <t xml:space="preserve">Juego completo jugable en Unity: 5 alas, 4 guardianes y jefe final, logros, Modo Archimaga, opciones, resultados, música y voces. Pruebas Alfa.</t>
  </si>
  <si>
    <t xml:space="preserve">Producto 2 (30 oct)</t>
  </si>
  <si>
    <t xml:space="preserve">Pruebas Beta (cerradas y abiertas), balance de dificultad, corrección de bugs y borrador del Postmortem.</t>
  </si>
  <si>
    <t xml:space="preserve">Producto 3 (20 nov)</t>
  </si>
  <si>
    <t xml:space="preserve">Gold Master: build final, Postmortem completo y entrega.</t>
  </si>
  <si>
    <t xml:space="preserve">Gold Master (30 nov)</t>
  </si>
  <si>
    <t xml:space="preserve">SPRINT BACKLOG - SPRINT 2 (19 sep - 30 oct, 2026)</t>
  </si>
  <si>
    <t xml:space="preserve">Fin = día en que la tarea quedó terminada. Las gráficas de Burn-down y Task Chart se calculan con estas columnas.</t>
  </si>
  <si>
    <t xml:space="preserve">TaskID</t>
  </si>
  <si>
    <t xml:space="preserve">Nombre de la tarea</t>
  </si>
  <si>
    <t xml:space="preserve">Miembro</t>
  </si>
  <si>
    <t xml:space="preserve">Rol</t>
  </si>
  <si>
    <t xml:space="preserve">Esfuerzo (hrs)</t>
  </si>
  <si>
    <t xml:space="preserve">T01</t>
  </si>
  <si>
    <t xml:space="preserve">Ordenar sprites e importarlos a Unity (ConfigureSprites.cs)</t>
  </si>
  <si>
    <t xml:space="preserve">Alejandro Pérez Alcántara</t>
  </si>
  <si>
    <t xml:space="preserve">Programador</t>
  </si>
  <si>
    <t xml:space="preserve">T02</t>
  </si>
  <si>
    <t xml:space="preserve">ScriptableObjects SpellData, ItemData y EnemyData</t>
  </si>
  <si>
    <t xml:space="preserve">T03</t>
  </si>
  <si>
    <t xml:space="preserve">PlayerController: movimiento, salto, coyote time, búfer y esquive</t>
  </si>
  <si>
    <t xml:space="preserve">T04</t>
  </si>
  <si>
    <t xml:space="preserve">Health.cs, interfaz IDamageable y resistencias por elemento</t>
  </si>
  <si>
    <t xml:space="preserve">T05</t>
  </si>
  <si>
    <t xml:space="preserve">SpellCaster: tres hechizos equipados, maná y tiempo de recarga</t>
  </si>
  <si>
    <t xml:space="preserve">T06</t>
  </si>
  <si>
    <t xml:space="preserve">EnemyBase y herencia de IA (EnemyAI, FlyingEnemyAI, RangedEnemyAI)</t>
  </si>
  <si>
    <t xml:space="preserve">T07</t>
  </si>
  <si>
    <t xml:space="preserve">GameManager con los estados del juego (2.5) y guardado</t>
  </si>
  <si>
    <t xml:space="preserve">T08</t>
  </si>
  <si>
    <t xml:space="preserve">Herramienta de editor que arma escenas y prefabs (CrearJuego.cs)</t>
  </si>
  <si>
    <t xml:space="preserve">T09</t>
  </si>
  <si>
    <t xml:space="preserve">Ala de Fuego con Centinelas, Salamandras y Kaelor</t>
  </si>
  <si>
    <t xml:space="preserve">T10</t>
  </si>
  <si>
    <t xml:space="preserve">Ala de Hielo con Espectros Escarchados, Cristales e Isolde</t>
  </si>
  <si>
    <t xml:space="preserve">T11</t>
  </si>
  <si>
    <t xml:space="preserve">Ala de Viento con Aves, Golems, plataformas móviles y Threnody</t>
  </si>
  <si>
    <t xml:space="preserve">T12</t>
  </si>
  <si>
    <t xml:space="preserve">Corazón del Grimorio y Eco de Elenora (4 fases + final)</t>
  </si>
  <si>
    <t xml:space="preserve">T13</t>
  </si>
  <si>
    <t xml:space="preserve">AchievementManager con los 10 logros</t>
  </si>
  <si>
    <t xml:space="preserve">T14</t>
  </si>
  <si>
    <t xml:space="preserve">Menú principal, pausa y Game Over con UGUI</t>
  </si>
  <si>
    <t xml:space="preserve">T15</t>
  </si>
  <si>
    <t xml:space="preserve">Prólogo, diálogos de personajes y textos de la historia</t>
  </si>
  <si>
    <t xml:space="preserve">T16</t>
  </si>
  <si>
    <t xml:space="preserve">Control de PS4 / Xbox con New Input System y vibración</t>
  </si>
  <si>
    <t xml:space="preserve">T17</t>
  </si>
  <si>
    <t xml:space="preserve">Música (9 pistas) y efectos de sonido</t>
  </si>
  <si>
    <t xml:space="preserve">T18</t>
  </si>
  <si>
    <t xml:space="preserve">Voces de los personajes y quejidos de Lira</t>
  </si>
  <si>
    <t xml:space="preserve">T19</t>
  </si>
  <si>
    <t xml:space="preserve">Agacharse, animación de piernas, sombra y pasos</t>
  </si>
  <si>
    <t xml:space="preserve">T20</t>
  </si>
  <si>
    <t xml:space="preserve">Niveles más grandes: salas secretas, Páginas Perdidas, vasijas y cofres</t>
  </si>
  <si>
    <t xml:space="preserve">T21</t>
  </si>
  <si>
    <t xml:space="preserve">Modo Archimaga con teclado y control</t>
  </si>
  <si>
    <t xml:space="preserve">T22</t>
  </si>
  <si>
    <t xml:space="preserve">Coloso de Raíz, Gárgola de Runa y espíritus de los guardianes</t>
  </si>
  <si>
    <t xml:space="preserve">T23</t>
  </si>
  <si>
    <t xml:space="preserve">Apuntar en cualquier dirección y combo rápido</t>
  </si>
  <si>
    <t xml:space="preserve">T24</t>
  </si>
  <si>
    <t xml:space="preserve">Armas de los enemigos (ArmaEnemigo.cs)</t>
  </si>
  <si>
    <t xml:space="preserve">T25</t>
  </si>
  <si>
    <t xml:space="preserve">Pantalla de Opciones (OpcionesUI.cs)</t>
  </si>
  <si>
    <t xml:space="preserve">T26</t>
  </si>
  <si>
    <t xml:space="preserve">Pantalla de resultados al terminar cada ala</t>
  </si>
  <si>
    <t xml:space="preserve">T27</t>
  </si>
  <si>
    <t xml:space="preserve">Habilidades 2.11 y acertijos: zarzas, hielo, cajas, placas y puertas</t>
  </si>
  <si>
    <t xml:space="preserve">T28</t>
  </si>
  <si>
    <t xml:space="preserve">Epílogo y créditos</t>
  </si>
  <si>
    <t xml:space="preserve">T29</t>
  </si>
  <si>
    <t xml:space="preserve">Corregir el final del juego al derrotar a Elenora (B-012)</t>
  </si>
  <si>
    <t xml:space="preserve">T30</t>
  </si>
  <si>
    <t xml:space="preserve">Capturas con F12 y compilación del .exe desde el menú</t>
  </si>
  <si>
    <t xml:space="preserve">T31</t>
  </si>
  <si>
    <t xml:space="preserve">Actualizar el libro de producción con el Sprint 2</t>
  </si>
  <si>
    <t xml:space="preserve">T32</t>
  </si>
  <si>
    <t xml:space="preserve">Pruebas Alfa de las cinco alas (ver hoja Pruebas Alfa)</t>
  </si>
  <si>
    <t xml:space="preserve">T33</t>
  </si>
  <si>
    <t xml:space="preserve">Generar el .exe y probarlo en otra computadora</t>
  </si>
  <si>
    <t xml:space="preserve">T34</t>
  </si>
  <si>
    <t xml:space="preserve">Documento del Producto 2 en Word y PDF con capturas</t>
  </si>
  <si>
    <t xml:space="preserve">T35</t>
  </si>
  <si>
    <t xml:space="preserve">Sprint Review del Sprint 2</t>
  </si>
  <si>
    <t xml:space="preserve">T36</t>
  </si>
  <si>
    <t xml:space="preserve">Corregir el acertijo de la caja del Ala de Viento (B-014)</t>
  </si>
  <si>
    <t xml:space="preserve">T37</t>
  </si>
  <si>
    <t xml:space="preserve">Corregir a Lira flotando sobre el suelo (B-015)</t>
  </si>
  <si>
    <t xml:space="preserve">T38</t>
  </si>
  <si>
    <t xml:space="preserve">Controles de teclado para laptop (J K L, W para apuntar)</t>
  </si>
  <si>
    <t xml:space="preserve">T39</t>
  </si>
  <si>
    <t xml:space="preserve">Manual del jugador en PDF</t>
  </si>
  <si>
    <t xml:space="preserve">T40</t>
  </si>
  <si>
    <t xml:space="preserve">Ayuda para apuntar: el hechizo sigue al enemigo más cercano a la mira (opción en Opciones)</t>
  </si>
  <si>
    <t xml:space="preserve">T41</t>
  </si>
  <si>
    <t xml:space="preserve">Aves de Tormenta: aviso antes de la picada, descanso después y menos empuje (B-016)</t>
  </si>
  <si>
    <t xml:space="preserve">T42</t>
  </si>
  <si>
    <t xml:space="preserve">Giro de Lira hacia donde camina con animación (B-017)</t>
  </si>
  <si>
    <t xml:space="preserve">T43</t>
  </si>
  <si>
    <t xml:space="preserve">Sentido arcano: chispas, tintineo y aviso cerca de secretos (B-018)</t>
  </si>
  <si>
    <t xml:space="preserve">T44</t>
  </si>
  <si>
    <t xml:space="preserve">12 efectos de sonido nuevos (lanzar, sin maná, quejido, graznido, caídas, latido, etc.)</t>
  </si>
  <si>
    <t xml:space="preserve">T45</t>
  </si>
  <si>
    <t xml:space="preserve">Saltar nivel: opción en la pausa y mantener N o L3 + R3</t>
  </si>
  <si>
    <t xml:space="preserve">T46</t>
  </si>
  <si>
    <t xml:space="preserve">Compilar la versión 1.0 del .exe y actualizar el manual</t>
  </si>
  <si>
    <t xml:space="preserve">Total horas:</t>
  </si>
  <si>
    <t xml:space="preserve">Terminadas:</t>
  </si>
  <si>
    <t xml:space="preserve">Avance:</t>
  </si>
  <si>
    <t xml:space="preserve">DAILY HUDDLE - SPRINT 2</t>
  </si>
  <si>
    <t xml:space="preserve">Registro de las reuniones diarias (proyecto individual: se responde por escrito al iniciar cada sesión de trabajo).</t>
  </si>
  <si>
    <t xml:space="preserve">Fecha</t>
  </si>
  <si>
    <t xml:space="preserve">¿Qué hice desde el último Huddle?</t>
  </si>
  <si>
    <t xml:space="preserve">¿Qué haré hoy?</t>
  </si>
  <si>
    <t xml:space="preserve">Impedimentos</t>
  </si>
  <si>
    <t xml:space="preserve">Sprint Huddle de arranque: cierre del Sprint 1 y revisión del Feature Log.</t>
  </si>
  <si>
    <t xml:space="preserve">Ordenar el arte y empezar a importarlo a Unity.</t>
  </si>
  <si>
    <t xml:space="preserve">Primera vez armando un proyecto completo en Unity 6.</t>
  </si>
  <si>
    <t xml:space="preserve">Sprites ordenados; 15 enemigos y jefes y 12 ítems importados.</t>
  </si>
  <si>
    <t xml:space="preserve">Código base: ScriptableObjects, PlayerController, Health, SpellCaster, EnemyBase y GameManager.</t>
  </si>
  <si>
    <t xml:space="preserve">Muchos sprites con nombres distintos al GDD; se renombraron.</t>
  </si>
  <si>
    <t xml:space="preserve">Código base y Nivel 1 armado con herramienta de editor.</t>
  </si>
  <si>
    <t xml:space="preserve">Generar el juego completo (5 alas, jefes, logros, créditos) y probarlo en Unity.</t>
  </si>
  <si>
    <t xml:space="preserve">El escenario se veía plano y las barras del HUD no cargaban su imagen (B-001).</t>
  </si>
  <si>
    <t xml:space="preserve">Versión 2 con control de PS4, luces 2D y nueva interfaz; historia dentro del juego.</t>
  </si>
  <si>
    <t xml:space="preserve">Música, voces, agacharse, niveles más grandes, Opciones, resultados, habilidades 2.11 y acertijos.</t>
  </si>
  <si>
    <t xml:space="preserve">Sin sonido (B-003), textos fuera del marco (B-004), final repetido (B-006), portal del Nivel 1 atorado (B-011).</t>
  </si>
  <si>
    <t xml:space="preserve">Opciones, resultados, habilidades y nueva fuente subidos al repositorio.</t>
  </si>
  <si>
    <t xml:space="preserve">Corregir el final de Elenora, agregar capturas y compilación del .exe, actualizar producción.</t>
  </si>
  <si>
    <t xml:space="preserve">El final no terminaba al vencer a Elenora (B-012); el panel de depuración se abría con L3 + R3 (B-013); no se abría el pasadizo del Ala de Viento (B-014).</t>
  </si>
  <si>
    <t xml:space="preserve">Producto 2 completo y probado el final del juego.</t>
  </si>
  <si>
    <t xml:space="preserve">Corregir a Lira flotando, controles de teclado para laptop, manual del jugador y generar el .exe.</t>
  </si>
  <si>
    <t xml:space="preserve">En la revisión de avance en clase se vio que Lira flota sobre el suelo (B-015).</t>
  </si>
  <si>
    <t xml:space="preserve">Primer .exe, manual y controles para laptop. Jugué el Ala de Viento con el control de PS4.</t>
  </si>
  <si>
    <t xml:space="preserve">Ayuda para apuntar, aves con aviso, giro de Lira, sentido arcano y sonidos nuevos.</t>
  </si>
  <si>
    <t xml:space="preserve">Las aves son difíciles de atinar y empujan a Lira al vacío (B-016); Lira no se voltea bien (B-017); no se encuentran los secretos (B-018). Unity se quedaba cargando al abrir el proyecto (se resolvió cerrando procesos).</t>
  </si>
  <si>
    <t xml:space="preserve">Mejoras del 15 de octubre probadas; en la revisión en clase el juego gustó.</t>
  </si>
  <si>
    <t xml:space="preserve">Saltar nivel para la presentación, versión 1.0 del .exe, manual actualizado y preparar el Sprint 3.</t>
  </si>
  <si>
    <t xml:space="preserve">Ninguno.</t>
  </si>
  <si>
    <t xml:space="preserve">PROJECT CHART - Estado general del proyecto</t>
  </si>
  <si>
    <t xml:space="preserve">Se calcula solo con la columna Estado del Feature Log.</t>
  </si>
  <si>
    <t xml:space="preserve">Features</t>
  </si>
  <si>
    <t xml:space="preserve">Porcentaje</t>
  </si>
  <si>
    <t xml:space="preserve">Sin planear</t>
  </si>
  <si>
    <t xml:space="preserve">Total</t>
  </si>
  <si>
    <t xml:space="preserve">BURN-DOWN CHART - SPRINT 2 (horas restantes)</t>
  </si>
  <si>
    <t xml:space="preserve">Ideal: línea recta del total de horas a cero. Real: horas de las tareas que todavía no terminan a esa fecha. Agregar la fórmula de Real en cada nueva fecha.</t>
  </si>
  <si>
    <t xml:space="preserve">Ideal (hrs)</t>
  </si>
  <si>
    <t xml:space="preserve">Real (hrs)</t>
  </si>
  <si>
    <t xml:space="preserve">Tareas restantes</t>
  </si>
  <si>
    <t xml:space="preserve">TASK CHART - SPRINT 2 (tareas restantes)</t>
  </si>
  <si>
    <t xml:space="preserve">Toma las tareas restantes de la hoja Burn-down Chart.</t>
  </si>
  <si>
    <t xml:space="preserve">Terminadas</t>
  </si>
  <si>
    <t xml:space="preserve">BUGLIST - SPRINT 2 (pruebas Alfa)</t>
  </si>
  <si>
    <t xml:space="preserve">Campos de la plantilla de Huddle (GDD 3.6). Se reportan durante las pruebas Alfa de cada versión.</t>
  </si>
  <si>
    <t xml:space="preserve">BugID</t>
  </si>
  <si>
    <t xml:space="preserve">Descripción</t>
  </si>
  <si>
    <t xml:space="preserve">Descripción técnica</t>
  </si>
  <si>
    <t xml:space="preserve">Autor</t>
  </si>
  <si>
    <t xml:space="preserve">Reportado</t>
  </si>
  <si>
    <t xml:space="preserve">Severidad</t>
  </si>
  <si>
    <t xml:space="preserve">B-001</t>
  </si>
  <si>
    <t xml:space="preserve">El escenario se veía plano y las barras del HUD no mostraban su imagen.</t>
  </si>
  <si>
    <t xml:space="preserve">Los sprites de la UI no estaban asignados en el prefab del HUD y los fondos no tenían capas.</t>
  </si>
  <si>
    <t xml:space="preserve">Corregido</t>
  </si>
  <si>
    <t xml:space="preserve">Media</t>
  </si>
  <si>
    <t xml:space="preserve">B-002</t>
  </si>
  <si>
    <t xml:space="preserve">Faltaban imágenes de la interfaz y las columnas del fondo.</t>
  </si>
  <si>
    <t xml:space="preserve">Nombres de archivo distintos entre la carpeta Sprites y las rutas de CrearJuego.cs.</t>
  </si>
  <si>
    <t xml:space="preserve">Baja</t>
  </si>
  <si>
    <t xml:space="preserve">B-003</t>
  </si>
  <si>
    <t xml:space="preserve">No se escuchaba la música ni los efectos.</t>
  </si>
  <si>
    <t xml:space="preserve">Ninguna cámara tenía AudioListener. El AudioManager ahora agrega el suyo y quita los de las cámaras.</t>
  </si>
  <si>
    <t xml:space="preserve">Alta</t>
  </si>
  <si>
    <t xml:space="preserve">B-004</t>
  </si>
  <si>
    <t xml:space="preserve">Los textos de Controles y Logros se salían del marco.</t>
  </si>
  <si>
    <t xml:space="preserve">El marco ornamentado se estiraba como imagen simple; se cambió por un panel 9-slice (PanelUI).</t>
  </si>
  <si>
    <t xml:space="preserve">B-005</t>
  </si>
  <si>
    <t xml:space="preserve">El retrato de Lira en el HUD se veía mal dentro del marco.</t>
  </si>
  <si>
    <t xml:space="preserve">El sprite completo se mostraba encima del marco; se agregó una máscara circular.</t>
  </si>
  <si>
    <t xml:space="preserve">B-006</t>
  </si>
  <si>
    <t xml:space="preserve">Al vencer a Elenora se repetía la batalla final y no salían los créditos.</t>
  </si>
  <si>
    <t xml:space="preserve">"Continuar" guardaba el Nivel 5 y no había transición al epílogo; se agregó FinishGame().</t>
  </si>
  <si>
    <t xml:space="preserve">B-007</t>
  </si>
  <si>
    <t xml:space="preserve">Los créditos tardaban unos 15 segundos en aparecer.</t>
  </si>
  <si>
    <t xml:space="preserve">El texto empezaba en y = -900, fuera de la pantalla; ahora empieza visible.</t>
  </si>
  <si>
    <t xml:space="preserve">B-008</t>
  </si>
  <si>
    <t xml:space="preserve">El Modo Archimaga a veces no se activaba.</t>
  </si>
  <si>
    <t xml:space="preserve">Cualquier otra tecla reiniciaba la secuencia; ahora solo cuentan las teclas del código.</t>
  </si>
  <si>
    <t xml:space="preserve">B-009</t>
  </si>
  <si>
    <t xml:space="preserve">Las voces de los personajes sonaban raras y fuertes.</t>
  </si>
  <si>
    <t xml:space="preserve">Síntesis con demasiada aspereza; se suavizó y se bajó el volumen.</t>
  </si>
  <si>
    <t xml:space="preserve">B-010</t>
  </si>
  <si>
    <t xml:space="preserve">No se veían las armas de los enemigos.</t>
  </si>
  <si>
    <t xml:space="preserve">Los prefabs no tenían el sprite del arma; se creó ArmaEnemigo.cs.</t>
  </si>
  <si>
    <t xml:space="preserve">B-011</t>
  </si>
  <si>
    <t xml:space="preserve">El juego se quedaba atorado en el portal del Nivel 1 sin mostrar resultados.</t>
  </si>
  <si>
    <t xml:space="preserve">Un error en un evento de LevelCompleted cortaba CompleteLevel antes de ShowResults; se protegió con try/catch y Enter/X continúa.</t>
  </si>
  <si>
    <t xml:space="preserve">B-012</t>
  </si>
  <si>
    <t xml:space="preserve">Al vencer a Elenora no terminaba el juego.</t>
  </si>
  <si>
    <t xml:space="preserve">La secuencia final dependía de que todos los eventos terminaran sin error; ahora hay un respaldo que termina el juego siempre.</t>
  </si>
  <si>
    <t xml:space="preserve">B-013</t>
  </si>
  <si>
    <t xml:space="preserve">Se abría un panel de estadísticas de Unity al apretar los dos sticks.</t>
  </si>
  <si>
    <t xml:space="preserve">Rendering Debugger de URP activo en tiempo de juego (L3 + R3); se desactiva en CapturaPantalla.cs.</t>
  </si>
  <si>
    <t xml:space="preserve">B-014</t>
  </si>
  <si>
    <t xml:space="preserve">No se podía abrir el pasadizo de la Página Perdida del Ala de Viento.</t>
  </si>
  <si>
    <t xml:space="preserve">La caja estaba casi en la orilla del suelo y podía caer al vacío; las puertas rúnicas no explicaban cómo abrirse. Se dio más espacio, la caja regresa a su lugar si se cae y las puertas dan una pista.</t>
  </si>
  <si>
    <t xml:space="preserve">Por verificar</t>
  </si>
  <si>
    <t xml:space="preserve">B-015</t>
  </si>
  <si>
    <t xml:space="preserve">Lira a veces flota sobre el suelo y las plataformas (se vio en la revisión de avance en clase).</t>
  </si>
  <si>
    <t xml:space="preserve">La imagen de Lira tiene 17% de espacio transparente bajo los pies y el collider se calculaba con la imagen completa. Ahora EditorHelpers.MargenesTransparentes() lee el PNG y ajusta el collider y el GroundCheck a los pies reales.</t>
  </si>
  <si>
    <t xml:space="preserve">B-016</t>
  </si>
  <si>
    <t xml:space="preserve">En el Ala de Viento es difícil atinarle a las Aves de Tormenta y empujan a Lira al vacío.</t>
  </si>
  <si>
    <t xml:space="preserve">Se mueven con ruido de Perlin y se lanzan sin aviso. Ahora tiemblan y graznan 0.55 s antes de la picada, descansan 0.8 s después y empujan con fuerza 5 en vez de 9. Además se agregó la ayuda para apuntar (SpellCaster.BuscarObjetivo + SpellProjectile.Seguir).</t>
  </si>
  <si>
    <t xml:space="preserve">B-017</t>
  </si>
  <si>
    <t xml:space="preserve">Al caminar hacia atrás Lira no parece voltearse.</t>
  </si>
  <si>
    <t xml:space="preserve">El dibujo original mira un poco a la izquierda y el código volteaba el sprite como si mirara a la derecha. Campo arteMiraALaDerecha en PlayerController y giro animado.</t>
  </si>
  <si>
    <t xml:space="preserve">B-018</t>
  </si>
  <si>
    <t xml:space="preserve">No se sabe dónde están las Páginas Perdidas ni los secretos.</t>
  </si>
  <si>
    <t xml:space="preserve">No había ninguna pista cerca de ellos. SentidoArcano.cs muestra chispas, un tintineo y un aviso a menos de 7 unidades.</t>
  </si>
  <si>
    <t xml:space="preserve">Corregidos:</t>
  </si>
  <si>
    <t xml:space="preserve">PRUEBAS ALFA - SPRINT 2</t>
  </si>
  <si>
    <t xml:space="preserve">Pruebas hechas por el propio equipo al terminar cada versión (Huddle, Producción). Los errores encontrados pasan al Buglist.</t>
  </si>
  <si>
    <t xml:space="preserve">ID</t>
  </si>
  <si>
    <t xml:space="preserve">Caso de prueba</t>
  </si>
  <si>
    <t xml:space="preserve">Pasos</t>
  </si>
  <si>
    <t xml:space="preserve">Resultado esperado</t>
  </si>
  <si>
    <t xml:space="preserve">Resultado obtenido</t>
  </si>
  <si>
    <t xml:space="preserve">PA-01</t>
  </si>
  <si>
    <t xml:space="preserve">Costo de maná y recarga de cada hechizo</t>
  </si>
  <si>
    <t xml:space="preserve">Lanzar el mismo hechizo varias veces seguidas.</t>
  </si>
  <si>
    <t xml:space="preserve">No se lanza sin maná suficiente ni antes de que termine la recarga.</t>
  </si>
  <si>
    <t xml:space="preserve">Se respeta el costo y la recarga.</t>
  </si>
  <si>
    <t xml:space="preserve">Aprobada</t>
  </si>
  <si>
    <t xml:space="preserve">PA-02</t>
  </si>
  <si>
    <t xml:space="preserve">Los hechizos solo dañan lo que tiene IDamageable</t>
  </si>
  <si>
    <t xml:space="preserve">Disparar a paredes, plataformas y enemigos.</t>
  </si>
  <si>
    <t xml:space="preserve">Solo los enemigos y objetos rompibles reciben daño.</t>
  </si>
  <si>
    <t xml:space="preserve">Correcto.</t>
  </si>
  <si>
    <t xml:space="preserve">PA-03</t>
  </si>
  <si>
    <t xml:space="preserve">IA cambia entre patrulla y persecución</t>
  </si>
  <si>
    <t xml:space="preserve">Acercarse y alejarse de un Espectro de tinta.</t>
  </si>
  <si>
    <t xml:space="preserve">Patrulla lejos de Lira y la persigue dentro de su rango.</t>
  </si>
  <si>
    <t xml:space="preserve">PA-04</t>
  </si>
  <si>
    <t xml:space="preserve">Control de PS4 por Bluetooth</t>
  </si>
  <si>
    <t xml:space="preserve">Jugar el Nivel 1 completo solo con el control.</t>
  </si>
  <si>
    <t xml:space="preserve">Todas las acciones responden y el control vibra al recibir daño.</t>
  </si>
  <si>
    <t xml:space="preserve">PA-05</t>
  </si>
  <si>
    <t xml:space="preserve">Música y efectos al iniciar</t>
  </si>
  <si>
    <t xml:space="preserve">Abrir el juego desde el menú principal.</t>
  </si>
  <si>
    <t xml:space="preserve">Se escucha la música del menú y los sonidos de los botones.</t>
  </si>
  <si>
    <t xml:space="preserve">Sin sonido (B-003). Corregido.</t>
  </si>
  <si>
    <t xml:space="preserve">PA-06</t>
  </si>
  <si>
    <t xml:space="preserve">Cambio de nivel con pantalla de resultados</t>
  </si>
  <si>
    <t xml:space="preserve">Terminar el Nivel 1 y entrar al portal.</t>
  </si>
  <si>
    <t xml:space="preserve">Aparece la pantalla de resultados y luego carga el Nivel 2.</t>
  </si>
  <si>
    <t xml:space="preserve">Se quedaba atorado (B-011). Corregido.</t>
  </si>
  <si>
    <t xml:space="preserve">PA-07</t>
  </si>
  <si>
    <t xml:space="preserve">Modo Archimaga</t>
  </si>
  <si>
    <t xml:space="preserve">Escribir F, H, V, A y Enter; con control L1 + R1 + Triángulo.</t>
  </si>
  <si>
    <t xml:space="preserve">Aparece el aviso y Lira no gasta maná ni recibe daño.</t>
  </si>
  <si>
    <t xml:space="preserve">Fallaba a veces (B-008). Corregido.</t>
  </si>
  <si>
    <t xml:space="preserve">PA-08</t>
  </si>
  <si>
    <t xml:space="preserve">Pantalla de Opciones</t>
  </si>
  <si>
    <t xml:space="preserve">Cambiar volúmenes, pantalla completa y vibración; salir y volver a entrar.</t>
  </si>
  <si>
    <t xml:space="preserve">Los cambios se aplican y se guardan.</t>
  </si>
  <si>
    <t xml:space="preserve">Funciona en el editor.</t>
  </si>
  <si>
    <t xml:space="preserve">PA-09</t>
  </si>
  <si>
    <t xml:space="preserve">Fuego quema las zarzas</t>
  </si>
  <si>
    <t xml:space="preserve">Lanzar Arcano y luego Fuego a las zarzas del Ala de Fuego.</t>
  </si>
  <si>
    <t xml:space="preserve">Solo el Fuego las quema y se abre el pasadizo.</t>
  </si>
  <si>
    <t xml:space="preserve">Pendiente</t>
  </si>
  <si>
    <t xml:space="preserve">PA-10</t>
  </si>
  <si>
    <t xml:space="preserve">Hielo congela al tercer golpe</t>
  </si>
  <si>
    <t xml:space="preserve">Pegarle tres veces seguidas con Hielo a un enemigo.</t>
  </si>
  <si>
    <t xml:space="preserve">El enemigo se pinta de azul y no se mueve por 2.5 s.</t>
  </si>
  <si>
    <t xml:space="preserve">PA-11</t>
  </si>
  <si>
    <t xml:space="preserve">Viento: planear y empujar la caja</t>
  </si>
  <si>
    <t xml:space="preserve">Mantener saltar al caer; empujar la caja del Ala de Viento hasta la placa.</t>
  </si>
  <si>
    <t xml:space="preserve">Lira cae lento; la caja abre la puerta rúnica.</t>
  </si>
  <si>
    <t xml:space="preserve">No se podía abrir (B-014). Corregido, falta probar.</t>
  </si>
  <si>
    <t xml:space="preserve">PA-12</t>
  </si>
  <si>
    <t xml:space="preserve">Final del juego</t>
  </si>
  <si>
    <t xml:space="preserve">Derrotar al Eco de Elenora y leer su diálogo.</t>
  </si>
  <si>
    <t xml:space="preserve">¡VICTORIA!, epílogo y créditos; al final regresa al menú.</t>
  </si>
  <si>
    <t xml:space="preserve">No terminaba (B-012). Corregido: sale ¡VICTORIA!, epílogo y créditos.</t>
  </si>
  <si>
    <t xml:space="preserve">PA-13</t>
  </si>
  <si>
    <t xml:space="preserve">Páginas Perdidas y salas secretas</t>
  </si>
  <si>
    <t xml:space="preserve">Recoger las 3 páginas del Nivel 1 y romper un muro agrietado.</t>
  </si>
  <si>
    <t xml:space="preserve">Cada página da +5 de vida máxima; el muro revela la sala.</t>
  </si>
  <si>
    <t xml:space="preserve">PA-14</t>
  </si>
  <si>
    <t xml:space="preserve">Build .exe</t>
  </si>
  <si>
    <t xml:space="preserve">Compilar con el menú Ecos del Grimorio y abrir el .exe.</t>
  </si>
  <si>
    <t xml:space="preserve">El juego abre en pantalla completa y se puede jugar de inicio a fin.</t>
  </si>
  <si>
    <t xml:space="preserve">Compila sin errores (150 MB). Falta probarlo en otra computadora.</t>
  </si>
  <si>
    <t xml:space="preserve">PA-15</t>
  </si>
  <si>
    <t xml:space="preserve">Lira pisa el suelo</t>
  </si>
  <si>
    <t xml:space="preserve">Caminar y detenerse sobre el suelo y las plataformas de cada ala.</t>
  </si>
  <si>
    <t xml:space="preserve">Los pies de Lira tocan la superficie, sin espacio.</t>
  </si>
  <si>
    <t xml:space="preserve">Flotaba (B-015). Corregido.</t>
  </si>
  <si>
    <t xml:space="preserve">PA-16</t>
  </si>
  <si>
    <t xml:space="preserve">Saltar nivel</t>
  </si>
  <si>
    <t xml:space="preserve">En cada ala mantener N (o L3 + R3) 1.5 s, y probar Pausa &gt; Saltar nivel.</t>
  </si>
  <si>
    <t xml:space="preserve">Pasa a la siguiente ala con el hechizo que tocaba; en el Corazón pasa al final. No da logros.</t>
  </si>
  <si>
    <t xml:space="preserve">PA-17</t>
  </si>
  <si>
    <t xml:space="preserve">Ayuda para apuntar</t>
  </si>
  <si>
    <t xml:space="preserve">Disparar a las Aves de Tormenta con y sin la opción activada.</t>
  </si>
  <si>
    <t xml:space="preserve">Con la opción, el hechizo sigue al ave; sin ella, va en línea recta.</t>
  </si>
  <si>
    <t xml:space="preserve">Aprobadas:</t>
  </si>
  <si>
    <t xml:space="preserve">COHERENCIA ENTRE EL GDD Y EL BACKLOG</t>
  </si>
  <si>
    <t xml:space="preserve">Cada requisito del documento de diseño tiene su feature y sus tareas. El estado toma el del primer feature de la lista.</t>
  </si>
  <si>
    <t xml:space="preserve">Sección GDD</t>
  </si>
  <si>
    <t xml:space="preserve">Requisito del documento de diseño</t>
  </si>
  <si>
    <t xml:space="preserve">Tareas</t>
  </si>
  <si>
    <t xml:space="preserve">2.1 / 2.3</t>
  </si>
  <si>
    <t xml:space="preserve">Acertijos ambientales; cada hechizo abre rutas bloqueadas</t>
  </si>
  <si>
    <t xml:space="preserve">21</t>
  </si>
  <si>
    <t xml:space="preserve">2.4</t>
  </si>
  <si>
    <t xml:space="preserve">Cámara lateral con seguimiento suave</t>
  </si>
  <si>
    <t xml:space="preserve">1</t>
  </si>
  <si>
    <t xml:space="preserve">Teclado y control (New Input System)</t>
  </si>
  <si>
    <t xml:space="preserve">20</t>
  </si>
  <si>
    <t xml:space="preserve">Guardado automático en puntos de control</t>
  </si>
  <si>
    <t xml:space="preserve">15</t>
  </si>
  <si>
    <t xml:space="preserve">2.5</t>
  </si>
  <si>
    <t xml:space="preserve">Estados: Menú, Juego, Pausa, Logros, Game Over, Créditos</t>
  </si>
  <si>
    <t xml:space="preserve">T07, T14</t>
  </si>
  <si>
    <t xml:space="preserve">2.5 / 2.6</t>
  </si>
  <si>
    <t xml:space="preserve">16</t>
  </si>
  <si>
    <t xml:space="preserve">2.6</t>
  </si>
  <si>
    <t xml:space="preserve">HUD: vida, maná, hechizo equipado y fragmentos</t>
  </si>
  <si>
    <t xml:space="preserve">17</t>
  </si>
  <si>
    <t xml:space="preserve">T14, T26</t>
  </si>
  <si>
    <t xml:space="preserve">2.7</t>
  </si>
  <si>
    <t xml:space="preserve">Cinco niveles (alas) con su elenco y guardián</t>
  </si>
  <si>
    <t xml:space="preserve">6, 8, 10, 11</t>
  </si>
  <si>
    <t xml:space="preserve">T09 a T12</t>
  </si>
  <si>
    <t xml:space="preserve">2.8</t>
  </si>
  <si>
    <t xml:space="preserve">Progreso: hechizos, fragmentos y coleccionables</t>
  </si>
  <si>
    <t xml:space="preserve">23</t>
  </si>
  <si>
    <t xml:space="preserve">2.9 / 2.10</t>
  </si>
  <si>
    <t xml:space="preserve">Personajes y enemigos</t>
  </si>
  <si>
    <t xml:space="preserve">3, 11</t>
  </si>
  <si>
    <t xml:space="preserve">T06, T22</t>
  </si>
  <si>
    <t xml:space="preserve">2.11</t>
  </si>
  <si>
    <t xml:space="preserve">Habilidades: Fuego quema, Hielo congela, Viento planea y empuja</t>
  </si>
  <si>
    <t xml:space="preserve">5, 7, 9, 21</t>
  </si>
  <si>
    <t xml:space="preserve">T23, T27</t>
  </si>
  <si>
    <t xml:space="preserve">2.12</t>
  </si>
  <si>
    <t xml:space="preserve">Armas de los enemigos</t>
  </si>
  <si>
    <t xml:space="preserve">22</t>
  </si>
  <si>
    <t xml:space="preserve">2.13</t>
  </si>
  <si>
    <t xml:space="preserve">Ítems y mejoras</t>
  </si>
  <si>
    <t xml:space="preserve">T02, T20</t>
  </si>
  <si>
    <t xml:space="preserve">2.14</t>
  </si>
  <si>
    <t xml:space="preserve">Guion: prólogo, diálogos y epílogo</t>
  </si>
  <si>
    <t xml:space="preserve">18</t>
  </si>
  <si>
    <t xml:space="preserve">T15, T28</t>
  </si>
  <si>
    <t xml:space="preserve">2.15</t>
  </si>
  <si>
    <t xml:space="preserve">Diez logros</t>
  </si>
  <si>
    <t xml:space="preserve">12</t>
  </si>
  <si>
    <t xml:space="preserve">2.16</t>
  </si>
  <si>
    <t xml:space="preserve">Código secreto (Modo Archimaga)</t>
  </si>
  <si>
    <t xml:space="preserve">13</t>
  </si>
  <si>
    <t xml:space="preserve">2.17</t>
  </si>
  <si>
    <t xml:space="preserve">Música, efectos y sonido especial al vencer a un jefe</t>
  </si>
  <si>
    <t xml:space="preserve">19</t>
  </si>
  <si>
    <t xml:space="preserve">T17, T18</t>
  </si>
  <si>
    <t xml:space="preserve">4.3</t>
  </si>
  <si>
    <t xml:space="preserve">Pruebas Alfa y Beta</t>
  </si>
  <si>
    <t xml:space="preserve">14, 26</t>
  </si>
  <si>
    <t xml:space="preserve">T32 (Beta en Sprint 3)</t>
  </si>
  <si>
    <t xml:space="preserve">5.1</t>
  </si>
  <si>
    <t xml:space="preserve">Generación del ejecutable para Windows</t>
  </si>
  <si>
    <t xml:space="preserve">24</t>
  </si>
  <si>
    <t xml:space="preserve">T30, T33, T46</t>
  </si>
  <si>
    <t xml:space="preserve">2.4 / 2.6</t>
  </si>
  <si>
    <t xml:space="preserve">Ayudas al jugador y opción de ayuda para apuntar</t>
  </si>
  <si>
    <t xml:space="preserve">27</t>
  </si>
  <si>
    <t xml:space="preserve">T40, T43, T45</t>
  </si>
  <si>
    <t xml:space="preserve">SPRINT REVIEW - SPRINT 2 (avance al 20 de octubre de 2026)</t>
  </si>
  <si>
    <t xml:space="preserve">Meta del sprint</t>
  </si>
  <si>
    <t xml:space="preserve">Juego completo jugable en Unity con las cinco alas, jefes, logros y Modo Archimaga, listo para pruebas Alfa.</t>
  </si>
  <si>
    <t xml:space="preserve">Tareas terminadas</t>
  </si>
  <si>
    <t xml:space="preserve">Horas terminadas</t>
  </si>
  <si>
    <t xml:space="preserve">Features terminados</t>
  </si>
  <si>
    <t xml:space="preserve">Bugs corregidos</t>
  </si>
  <si>
    <t xml:space="preserve">Pruebas Alfa aprobadas</t>
  </si>
  <si>
    <t xml:space="preserve">Demostración</t>
  </si>
  <si>
    <t xml:space="preserve">Partida con el .exe y el control de PS4: diálogo con la Maestra Sable, combate, sala secreta, pantalla de resultados, Opciones y saltar nivel para mostrar las cinco alas y el final.</t>
  </si>
  <si>
    <t xml:space="preserve">¿Qué salió bien?</t>
  </si>
  <si>
    <t xml:space="preserve">La herramienta de editor permite reconstruir todas las escenas en un clic. El código con herencia (EnemyBase, BossController) hizo rápido agregar enemigos y jefes. Se adelantaron los features de los Sprints 3 y 4.</t>
  </si>
  <si>
    <t xml:space="preserve">¿Qué salió mal?</t>
  </si>
  <si>
    <t xml:space="preserve">Varias fallas solo aparecieron al jugar con el control (sonido, textos fuera del marco, final del juego) o en la revisión en clase (Lira flotando). El Ala de Viento quedó muy difícil por las aves. El Burn-down muestra que la mayor parte del trabajo se concentró en pocos días.</t>
  </si>
  <si>
    <t xml:space="preserve">Ajustes para el Sprint 3</t>
  </si>
  <si>
    <t xml:space="preserve">Sesiones más cortas y repartidas. Probar cada ala completa antes de agregar contenido nuevo. Pruebas Beta con compañeros usando el .exe.</t>
  </si>
  <si>
    <t xml:space="preserve">Fecha de cierre</t>
  </si>
  <si>
    <t xml:space="preserve">30 de octubre de 2026 (entrega del Producto 2)</t>
  </si>
  <si>
    <t xml:space="preserve">PRUEBAS BETA - SPRINT 3 (31 oct - 20 nov, 2026)</t>
  </si>
  <si>
    <t xml:space="preserve">Una fila por cada persona que prueba el juego, copiada de su formato de Pruebas Beta. Calificaciones del 1 (malo) al 5 (excelente). Los errores nuevos se pasan al Buglist con su BugID.</t>
  </si>
  <si>
    <t xml:space="preserve">Jugador(a)</t>
  </si>
  <si>
    <t xml:space="preserve">Tipo</t>
  </si>
  <si>
    <t xml:space="preserve">Jugó con</t>
  </si>
  <si>
    <t xml:space="preserve">Ala a la que llegó</t>
  </si>
  <si>
    <t xml:space="preserve">Minutos jugados</t>
  </si>
  <si>
    <t xml:space="preserve">Diversión (1-5)</t>
  </si>
  <si>
    <t xml:space="preserve">Controles claros (1-5)</t>
  </si>
  <si>
    <t xml:space="preserve">Dificultad (1-5)</t>
  </si>
  <si>
    <t xml:space="preserve">Lo que más le gustó</t>
  </si>
  <si>
    <t xml:space="preserve">Lo que no entendió</t>
  </si>
  <si>
    <t xml:space="preserve">Errores (BugID)</t>
  </si>
  <si>
    <t xml:space="preserve">PB-01</t>
  </si>
  <si>
    <t xml:space="preserve">PB-02</t>
  </si>
  <si>
    <t xml:space="preserve">PB-03</t>
  </si>
  <si>
    <t xml:space="preserve">PB-04</t>
  </si>
  <si>
    <t xml:space="preserve">PB-05</t>
  </si>
  <si>
    <t xml:space="preserve">PB-06</t>
  </si>
  <si>
    <t xml:space="preserve">PB-07</t>
  </si>
  <si>
    <t xml:space="preserve">PB-08</t>
  </si>
  <si>
    <t xml:space="preserve">PB-09</t>
  </si>
  <si>
    <t xml:space="preserve">PB-10</t>
  </si>
  <si>
    <t xml:space="preserve">PB-11</t>
  </si>
  <si>
    <t xml:space="preserve">PB-12</t>
  </si>
  <si>
    <t xml:space="preserve">PB-13</t>
  </si>
  <si>
    <t xml:space="preserve">PB-14</t>
  </si>
  <si>
    <t xml:space="preserve">PB-15</t>
  </si>
  <si>
    <t xml:space="preserve">Personas que probaron:</t>
  </si>
  <si>
    <t xml:space="preserve">Promedio diversión:</t>
  </si>
  <si>
    <t xml:space="preserve">Promedio controles:</t>
  </si>
  <si>
    <t xml:space="preserve">Promedio dificultad:</t>
  </si>
  <si>
    <t xml:space="preserve">Terminaron el juego: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</si>
</sst>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0"/>
    <numFmt numFmtId="167" formatCode="0%"/>
    <numFmt numFmtId="168" formatCode="General"/>
    <numFmt numFmtId="169" formatCode="dd/mm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A7EB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2F2F2"/>
        </patternFill>
      </fill>
    </dxf>
    <dxf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4472C4"/>
      <rgbColor rgb="FF33CCCC"/>
      <rgbColor rgb="FF9BBB59"/>
      <rgbColor rgb="FFFFCC00"/>
      <rgbColor rgb="FFFF9900"/>
      <rgbColor rgb="FFFF6600"/>
      <rgbColor rgb="FF8064A2"/>
      <rgbColor rgb="FF4F81BD"/>
      <rgbColor rgb="FF003366"/>
      <rgbColor rgb="FF4A7EBB"/>
      <rgbColor rgb="FF003300"/>
      <rgbColor rgb="FF333300"/>
      <rgbColor rgb="FF993300"/>
      <rgbColor rgb="FFC0504D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Project Chart - Sprint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'Project Chart'!B3</c:f>
              <c:strCache>
                <c:ptCount val="1"/>
                <c:pt idx="0">
                  <c:v>Features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'Project Chart'!$A$4:$A$7</c:f>
              <c:strCache>
                <c:ptCount val="4"/>
                <c:pt idx="0">
                  <c:v>Terminado</c:v>
                </c:pt>
                <c:pt idx="1">
                  <c:v>En desarrollo</c:v>
                </c:pt>
                <c:pt idx="2">
                  <c:v>Planeado</c:v>
                </c:pt>
                <c:pt idx="3">
                  <c:v>Sin planear</c:v>
                </c:pt>
              </c:strCache>
            </c:strRef>
          </c:cat>
          <c:val>
            <c:numRef>
              <c:f>'Project Chart'!$B$4:$B$7</c:f>
              <c:numCache>
                <c:formatCode>General</c:formatCode>
                <c:ptCount val="4"/>
                <c:pt idx="0">
                  <c:v>24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Burn-down Chart - Sprint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'Burn-down Chart'!B3</c:f>
              <c:strCache>
                <c:ptCount val="1"/>
                <c:pt idx="0">
                  <c:v>Ideal (hrs)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'Burn-down Chart'!$A$4:$A$15</c:f>
              <c:strCache>
                <c:ptCount val="12"/>
                <c:pt idx="0">
                  <c:v>19/09</c:v>
                </c:pt>
                <c:pt idx="1">
                  <c:v>23/09</c:v>
                </c:pt>
                <c:pt idx="2">
                  <c:v>26/09</c:v>
                </c:pt>
                <c:pt idx="3">
                  <c:v>30/09</c:v>
                </c:pt>
                <c:pt idx="4">
                  <c:v>04/10</c:v>
                </c:pt>
                <c:pt idx="5">
                  <c:v>05/10</c:v>
                </c:pt>
                <c:pt idx="6">
                  <c:v>07/10</c:v>
                </c:pt>
                <c:pt idx="7">
                  <c:v>13/10</c:v>
                </c:pt>
                <c:pt idx="8">
                  <c:v>15/10</c:v>
                </c:pt>
                <c:pt idx="9">
                  <c:v>20/10</c:v>
                </c:pt>
                <c:pt idx="10">
                  <c:v>25/10</c:v>
                </c:pt>
                <c:pt idx="11">
                  <c:v>30/10</c:v>
                </c:pt>
              </c:strCache>
            </c:strRef>
          </c:cat>
          <c:val>
            <c:numRef>
              <c:f>'Burn-down Chart'!$B$4:$B$15</c:f>
              <c:numCache>
                <c:formatCode>General</c:formatCode>
                <c:ptCount val="12"/>
                <c:pt idx="0">
                  <c:v>187</c:v>
                </c:pt>
                <c:pt idx="1">
                  <c:v>168.8</c:v>
                </c:pt>
                <c:pt idx="2">
                  <c:v>155.1</c:v>
                </c:pt>
                <c:pt idx="3">
                  <c:v>136.8</c:v>
                </c:pt>
                <c:pt idx="4">
                  <c:v>118.6</c:v>
                </c:pt>
                <c:pt idx="5">
                  <c:v>114</c:v>
                </c:pt>
                <c:pt idx="6">
                  <c:v>104.9</c:v>
                </c:pt>
                <c:pt idx="7">
                  <c:v>77.5</c:v>
                </c:pt>
                <c:pt idx="8">
                  <c:v>68.4</c:v>
                </c:pt>
                <c:pt idx="9">
                  <c:v>45.6</c:v>
                </c:pt>
                <c:pt idx="10">
                  <c:v>22.8</c:v>
                </c:pt>
                <c:pt idx="11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'Burn-down Chart'!C3</c:f>
              <c:strCache>
                <c:ptCount val="1"/>
                <c:pt idx="0">
                  <c:v>Real (hrs)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'Burn-down Chart'!$A$4:$A$15</c:f>
              <c:strCache>
                <c:ptCount val="12"/>
                <c:pt idx="0">
                  <c:v>19/09</c:v>
                </c:pt>
                <c:pt idx="1">
                  <c:v>23/09</c:v>
                </c:pt>
                <c:pt idx="2">
                  <c:v>26/09</c:v>
                </c:pt>
                <c:pt idx="3">
                  <c:v>30/09</c:v>
                </c:pt>
                <c:pt idx="4">
                  <c:v>04/10</c:v>
                </c:pt>
                <c:pt idx="5">
                  <c:v>05/10</c:v>
                </c:pt>
                <c:pt idx="6">
                  <c:v>07/10</c:v>
                </c:pt>
                <c:pt idx="7">
                  <c:v>13/10</c:v>
                </c:pt>
                <c:pt idx="8">
                  <c:v>15/10</c:v>
                </c:pt>
                <c:pt idx="9">
                  <c:v>20/10</c:v>
                </c:pt>
                <c:pt idx="10">
                  <c:v>25/10</c:v>
                </c:pt>
                <c:pt idx="11">
                  <c:v>30/10</c:v>
                </c:pt>
              </c:strCache>
            </c:strRef>
          </c:cat>
          <c:val>
            <c:numRef>
              <c:f>'Burn-down Chart'!$C$4:$C$15</c:f>
              <c:numCache>
                <c:formatCode>General</c:formatCode>
                <c:ptCount val="12"/>
                <c:pt idx="0">
                  <c:v>187</c:v>
                </c:pt>
                <c:pt idx="1">
                  <c:v>187</c:v>
                </c:pt>
                <c:pt idx="2">
                  <c:v>187</c:v>
                </c:pt>
                <c:pt idx="3">
                  <c:v>149</c:v>
                </c:pt>
                <c:pt idx="4">
                  <c:v>96</c:v>
                </c:pt>
                <c:pt idx="5">
                  <c:v>46</c:v>
                </c:pt>
                <c:pt idx="6">
                  <c:v>37</c:v>
                </c:pt>
                <c:pt idx="7">
                  <c:v>24</c:v>
                </c:pt>
                <c:pt idx="8">
                  <c:v>13</c:v>
                </c:pt>
                <c:pt idx="9">
                  <c:v>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6128128"/>
        <c:axId val="12110244"/>
      </c:lineChart>
      <c:catAx>
        <c:axId val="261281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Fecha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110244"/>
        <c:crosses val="autoZero"/>
        <c:auto val="1"/>
        <c:lblAlgn val="ctr"/>
        <c:lblOffset val="100"/>
        <c:noMultiLvlLbl val="0"/>
      </c:catAx>
      <c:valAx>
        <c:axId val="121102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Horas restantes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1281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Task Chart - Sprint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'Task Chart'!B3</c:f>
              <c:strCache>
                <c:ptCount val="1"/>
                <c:pt idx="0">
                  <c:v>Tareas restantes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'Task Chart'!$A$4:$A$13</c:f>
              <c:strCache>
                <c:ptCount val="10"/>
                <c:pt idx="0">
                  <c:v>19/09</c:v>
                </c:pt>
                <c:pt idx="1">
                  <c:v>23/09</c:v>
                </c:pt>
                <c:pt idx="2">
                  <c:v>26/09</c:v>
                </c:pt>
                <c:pt idx="3">
                  <c:v>30/09</c:v>
                </c:pt>
                <c:pt idx="4">
                  <c:v>04/10</c:v>
                </c:pt>
                <c:pt idx="5">
                  <c:v>05/10</c:v>
                </c:pt>
                <c:pt idx="6">
                  <c:v>07/10</c:v>
                </c:pt>
                <c:pt idx="7">
                  <c:v>13/10</c:v>
                </c:pt>
                <c:pt idx="8">
                  <c:v>15/10</c:v>
                </c:pt>
                <c:pt idx="9">
                  <c:v>20/10</c:v>
                </c:pt>
              </c:strCache>
            </c:strRef>
          </c:cat>
          <c:val>
            <c:numRef>
              <c:f>'Task Chart'!$B$4:$B$13</c:f>
              <c:numCache>
                <c:formatCode>General</c:formatCode>
                <c:ptCount val="10"/>
                <c:pt idx="0">
                  <c:v>46</c:v>
                </c:pt>
                <c:pt idx="1">
                  <c:v>46</c:v>
                </c:pt>
                <c:pt idx="2">
                  <c:v>46</c:v>
                </c:pt>
                <c:pt idx="3">
                  <c:v>39</c:v>
                </c:pt>
                <c:pt idx="4">
                  <c:v>30</c:v>
                </c:pt>
                <c:pt idx="5">
                  <c:v>18</c:v>
                </c:pt>
                <c:pt idx="6">
                  <c:v>14</c:v>
                </c:pt>
                <c:pt idx="7">
                  <c:v>10</c:v>
                </c:pt>
                <c:pt idx="8">
                  <c:v>5</c:v>
                </c:pt>
                <c:pt idx="9">
                  <c:v>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'Task Chart'!C3</c:f>
              <c:strCache>
                <c:ptCount val="1"/>
                <c:pt idx="0">
                  <c:v>Terminadas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'Task Chart'!$A$4:$A$13</c:f>
              <c:strCache>
                <c:ptCount val="10"/>
                <c:pt idx="0">
                  <c:v>19/09</c:v>
                </c:pt>
                <c:pt idx="1">
                  <c:v>23/09</c:v>
                </c:pt>
                <c:pt idx="2">
                  <c:v>26/09</c:v>
                </c:pt>
                <c:pt idx="3">
                  <c:v>30/09</c:v>
                </c:pt>
                <c:pt idx="4">
                  <c:v>04/10</c:v>
                </c:pt>
                <c:pt idx="5">
                  <c:v>05/10</c:v>
                </c:pt>
                <c:pt idx="6">
                  <c:v>07/10</c:v>
                </c:pt>
                <c:pt idx="7">
                  <c:v>13/10</c:v>
                </c:pt>
                <c:pt idx="8">
                  <c:v>15/10</c:v>
                </c:pt>
                <c:pt idx="9">
                  <c:v>20/10</c:v>
                </c:pt>
              </c:strCache>
            </c:strRef>
          </c:cat>
          <c:val>
            <c:numRef>
              <c:f>'Task Chart'!$C$4:$C$13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</c:v>
                </c:pt>
                <c:pt idx="4">
                  <c:v>16</c:v>
                </c:pt>
                <c:pt idx="5">
                  <c:v>28</c:v>
                </c:pt>
                <c:pt idx="6">
                  <c:v>32</c:v>
                </c:pt>
                <c:pt idx="7">
                  <c:v>36</c:v>
                </c:pt>
                <c:pt idx="8">
                  <c:v>41</c:v>
                </c:pt>
                <c:pt idx="9">
                  <c:v>43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5060964"/>
        <c:axId val="64371788"/>
      </c:lineChart>
      <c:catAx>
        <c:axId val="1506096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Fecha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371788"/>
        <c:crosses val="autoZero"/>
        <c:auto val="1"/>
        <c:lblAlgn val="ctr"/>
        <c:lblOffset val="100"/>
        <c:noMultiLvlLbl val="0"/>
      </c:catAx>
      <c:valAx>
        <c:axId val="643717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Tareas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0609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160560</xdr:rowOff>
    </xdr:from>
    <xdr:to>
      <xdr:col>12</xdr:col>
      <xdr:colOff>147600</xdr:colOff>
      <xdr:row>18</xdr:row>
      <xdr:rowOff>161640</xdr:rowOff>
    </xdr:to>
    <xdr:graphicFrame>
      <xdr:nvGraphicFramePr>
        <xdr:cNvPr id="0" name="Chart 1"/>
        <xdr:cNvGraphicFramePr/>
      </xdr:nvGraphicFramePr>
      <xdr:xfrm>
        <a:off x="3642480" y="38088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160560</xdr:rowOff>
    </xdr:from>
    <xdr:to>
      <xdr:col>15</xdr:col>
      <xdr:colOff>4680</xdr:colOff>
      <xdr:row>17</xdr:row>
      <xdr:rowOff>182520</xdr:rowOff>
    </xdr:to>
    <xdr:graphicFrame>
      <xdr:nvGraphicFramePr>
        <xdr:cNvPr id="1" name="Chart 1"/>
        <xdr:cNvGraphicFramePr/>
      </xdr:nvGraphicFramePr>
      <xdr:xfrm>
        <a:off x="4135680" y="38088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160560</xdr:rowOff>
    </xdr:from>
    <xdr:to>
      <xdr:col>12</xdr:col>
      <xdr:colOff>507600</xdr:colOff>
      <xdr:row>18</xdr:row>
      <xdr:rowOff>161640</xdr:rowOff>
    </xdr:to>
    <xdr:graphicFrame>
      <xdr:nvGraphicFramePr>
        <xdr:cNvPr id="2" name="Chart 1"/>
        <xdr:cNvGraphicFramePr/>
      </xdr:nvGraphicFramePr>
      <xdr:xfrm>
        <a:off x="3430800" y="3808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6"/>
    <col collapsed="false" customWidth="true" hidden="false" outlineLevel="0" max="3" min="3" style="0" width="15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5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customFormat="false" ht="28.35" hidden="false" customHeight="false" outlineLevel="0" collapsed="false">
      <c r="A4" s="4" t="n">
        <v>1</v>
      </c>
      <c r="B4" s="5" t="s">
        <v>8</v>
      </c>
      <c r="C4" s="4" t="s">
        <v>9</v>
      </c>
      <c r="D4" s="4" t="n">
        <v>3</v>
      </c>
      <c r="E4" s="4" t="n">
        <v>2</v>
      </c>
      <c r="F4" s="5" t="s">
        <v>10</v>
      </c>
    </row>
    <row r="5" customFormat="false" ht="15" hidden="false" customHeight="false" outlineLevel="0" collapsed="false">
      <c r="A5" s="4" t="n">
        <v>2</v>
      </c>
      <c r="B5" s="5" t="s">
        <v>11</v>
      </c>
      <c r="C5" s="4" t="s">
        <v>9</v>
      </c>
      <c r="D5" s="4" t="n">
        <v>4</v>
      </c>
      <c r="E5" s="4" t="n">
        <v>2</v>
      </c>
      <c r="F5" s="5" t="s">
        <v>12</v>
      </c>
    </row>
    <row r="6" customFormat="false" ht="15" hidden="false" customHeight="false" outlineLevel="0" collapsed="false">
      <c r="A6" s="4" t="n">
        <v>3</v>
      </c>
      <c r="B6" s="5" t="s">
        <v>13</v>
      </c>
      <c r="C6" s="4" t="s">
        <v>9</v>
      </c>
      <c r="D6" s="4" t="n">
        <v>3</v>
      </c>
      <c r="E6" s="4" t="n">
        <v>2</v>
      </c>
      <c r="F6" s="5" t="s">
        <v>14</v>
      </c>
    </row>
    <row r="7" customFormat="false" ht="15" hidden="false" customHeight="false" outlineLevel="0" collapsed="false">
      <c r="A7" s="4" t="n">
        <v>4</v>
      </c>
      <c r="B7" s="5" t="s">
        <v>15</v>
      </c>
      <c r="C7" s="4" t="s">
        <v>9</v>
      </c>
      <c r="D7" s="4" t="n">
        <v>2</v>
      </c>
      <c r="E7" s="4" t="n">
        <v>2</v>
      </c>
      <c r="F7" s="5" t="s">
        <v>16</v>
      </c>
    </row>
    <row r="8" customFormat="false" ht="15" hidden="false" customHeight="false" outlineLevel="0" collapsed="false">
      <c r="A8" s="4" t="n">
        <v>5</v>
      </c>
      <c r="B8" s="5" t="s">
        <v>17</v>
      </c>
      <c r="C8" s="4" t="s">
        <v>9</v>
      </c>
      <c r="D8" s="4" t="n">
        <v>5</v>
      </c>
      <c r="E8" s="4" t="n">
        <v>2</v>
      </c>
      <c r="F8" s="5" t="s">
        <v>18</v>
      </c>
    </row>
    <row r="9" customFormat="false" ht="15" hidden="false" customHeight="false" outlineLevel="0" collapsed="false">
      <c r="A9" s="4" t="n">
        <v>6</v>
      </c>
      <c r="B9" s="5" t="s">
        <v>19</v>
      </c>
      <c r="C9" s="4" t="s">
        <v>9</v>
      </c>
      <c r="D9" s="4" t="n">
        <v>6</v>
      </c>
      <c r="E9" s="4" t="n">
        <v>2</v>
      </c>
      <c r="F9" s="5" t="s">
        <v>20</v>
      </c>
    </row>
    <row r="10" customFormat="false" ht="15" hidden="false" customHeight="false" outlineLevel="0" collapsed="false">
      <c r="A10" s="4" t="n">
        <v>7</v>
      </c>
      <c r="B10" s="5" t="s">
        <v>21</v>
      </c>
      <c r="C10" s="4" t="s">
        <v>9</v>
      </c>
      <c r="D10" s="4" t="n">
        <v>4</v>
      </c>
      <c r="E10" s="4" t="n">
        <v>2</v>
      </c>
      <c r="F10" s="5" t="s">
        <v>22</v>
      </c>
    </row>
    <row r="11" customFormat="false" ht="15" hidden="false" customHeight="false" outlineLevel="0" collapsed="false">
      <c r="A11" s="4" t="n">
        <v>8</v>
      </c>
      <c r="B11" s="5" t="s">
        <v>23</v>
      </c>
      <c r="C11" s="4" t="s">
        <v>9</v>
      </c>
      <c r="D11" s="4" t="n">
        <v>6</v>
      </c>
      <c r="E11" s="4" t="n">
        <v>2</v>
      </c>
      <c r="F11" s="5" t="s">
        <v>24</v>
      </c>
    </row>
    <row r="12" customFormat="false" ht="28.35" hidden="false" customHeight="false" outlineLevel="0" collapsed="false">
      <c r="A12" s="4" t="n">
        <v>9</v>
      </c>
      <c r="B12" s="5" t="s">
        <v>25</v>
      </c>
      <c r="C12" s="4" t="s">
        <v>9</v>
      </c>
      <c r="D12" s="4" t="n">
        <v>5</v>
      </c>
      <c r="E12" s="4" t="n">
        <v>2</v>
      </c>
      <c r="F12" s="5" t="s">
        <v>26</v>
      </c>
    </row>
    <row r="13" customFormat="false" ht="28.35" hidden="false" customHeight="false" outlineLevel="0" collapsed="false">
      <c r="A13" s="4" t="n">
        <v>10</v>
      </c>
      <c r="B13" s="5" t="s">
        <v>27</v>
      </c>
      <c r="C13" s="4" t="s">
        <v>9</v>
      </c>
      <c r="D13" s="4" t="n">
        <v>7</v>
      </c>
      <c r="E13" s="4" t="n">
        <v>2</v>
      </c>
      <c r="F13" s="5" t="s">
        <v>26</v>
      </c>
    </row>
    <row r="14" customFormat="false" ht="28.35" hidden="false" customHeight="false" outlineLevel="0" collapsed="false">
      <c r="A14" s="4" t="n">
        <v>11</v>
      </c>
      <c r="B14" s="5" t="s">
        <v>28</v>
      </c>
      <c r="C14" s="4" t="s">
        <v>9</v>
      </c>
      <c r="D14" s="4" t="n">
        <v>8</v>
      </c>
      <c r="E14" s="4" t="n">
        <v>2</v>
      </c>
      <c r="F14" s="5" t="s">
        <v>29</v>
      </c>
    </row>
    <row r="15" customFormat="false" ht="28.35" hidden="false" customHeight="false" outlineLevel="0" collapsed="false">
      <c r="A15" s="4" t="n">
        <v>12</v>
      </c>
      <c r="B15" s="5" t="s">
        <v>30</v>
      </c>
      <c r="C15" s="4" t="s">
        <v>9</v>
      </c>
      <c r="D15" s="4" t="n">
        <v>3</v>
      </c>
      <c r="E15" s="4" t="n">
        <v>2</v>
      </c>
      <c r="F15" s="5" t="s">
        <v>31</v>
      </c>
    </row>
    <row r="16" customFormat="false" ht="15" hidden="false" customHeight="false" outlineLevel="0" collapsed="false">
      <c r="A16" s="4" t="n">
        <v>13</v>
      </c>
      <c r="B16" s="5" t="s">
        <v>32</v>
      </c>
      <c r="C16" s="4" t="s">
        <v>9</v>
      </c>
      <c r="D16" s="4" t="n">
        <v>2</v>
      </c>
      <c r="E16" s="4" t="n">
        <v>2</v>
      </c>
      <c r="F16" s="5" t="s">
        <v>33</v>
      </c>
    </row>
    <row r="17" customFormat="false" ht="15" hidden="false" customHeight="false" outlineLevel="0" collapsed="false">
      <c r="A17" s="4" t="n">
        <v>14</v>
      </c>
      <c r="B17" s="5" t="s">
        <v>34</v>
      </c>
      <c r="C17" s="4" t="s">
        <v>35</v>
      </c>
      <c r="D17" s="4" t="n">
        <v>5</v>
      </c>
      <c r="E17" s="4" t="s">
        <v>36</v>
      </c>
      <c r="F17" s="5" t="s">
        <v>37</v>
      </c>
    </row>
    <row r="18" customFormat="false" ht="28.35" hidden="false" customHeight="false" outlineLevel="0" collapsed="false">
      <c r="A18" s="4" t="n">
        <v>15</v>
      </c>
      <c r="B18" s="5" t="s">
        <v>38</v>
      </c>
      <c r="C18" s="4" t="s">
        <v>9</v>
      </c>
      <c r="D18" s="4" t="n">
        <v>3</v>
      </c>
      <c r="E18" s="4" t="n">
        <v>2</v>
      </c>
      <c r="F18" s="5" t="s">
        <v>39</v>
      </c>
    </row>
    <row r="19" customFormat="false" ht="28.35" hidden="false" customHeight="false" outlineLevel="0" collapsed="false">
      <c r="A19" s="4" t="n">
        <v>16</v>
      </c>
      <c r="B19" s="5" t="s">
        <v>40</v>
      </c>
      <c r="C19" s="4" t="s">
        <v>9</v>
      </c>
      <c r="D19" s="4" t="n">
        <v>1</v>
      </c>
      <c r="E19" s="4" t="n">
        <v>2</v>
      </c>
      <c r="F19" s="5" t="s">
        <v>41</v>
      </c>
    </row>
    <row r="20" customFormat="false" ht="15" hidden="false" customHeight="false" outlineLevel="0" collapsed="false">
      <c r="A20" s="4" t="n">
        <v>17</v>
      </c>
      <c r="B20" s="5" t="s">
        <v>42</v>
      </c>
      <c r="C20" s="4" t="s">
        <v>9</v>
      </c>
      <c r="D20" s="4" t="n">
        <v>2</v>
      </c>
      <c r="E20" s="4" t="n">
        <v>2</v>
      </c>
      <c r="F20" s="5" t="s">
        <v>43</v>
      </c>
    </row>
    <row r="21" customFormat="false" ht="15" hidden="false" customHeight="false" outlineLevel="0" collapsed="false">
      <c r="A21" s="4" t="n">
        <v>18</v>
      </c>
      <c r="B21" s="5" t="s">
        <v>44</v>
      </c>
      <c r="C21" s="4" t="s">
        <v>9</v>
      </c>
      <c r="D21" s="4" t="n">
        <v>3</v>
      </c>
      <c r="E21" s="4" t="n">
        <v>2</v>
      </c>
      <c r="F21" s="5" t="s">
        <v>45</v>
      </c>
    </row>
    <row r="22" customFormat="false" ht="28.35" hidden="false" customHeight="false" outlineLevel="0" collapsed="false">
      <c r="A22" s="4" t="n">
        <v>19</v>
      </c>
      <c r="B22" s="5" t="s">
        <v>46</v>
      </c>
      <c r="C22" s="4" t="s">
        <v>9</v>
      </c>
      <c r="D22" s="4" t="n">
        <v>3</v>
      </c>
      <c r="E22" s="4" t="n">
        <v>2</v>
      </c>
      <c r="F22" s="5" t="s">
        <v>47</v>
      </c>
    </row>
    <row r="23" customFormat="false" ht="15" hidden="false" customHeight="false" outlineLevel="0" collapsed="false">
      <c r="A23" s="4" t="n">
        <v>20</v>
      </c>
      <c r="B23" s="5" t="s">
        <v>48</v>
      </c>
      <c r="C23" s="4" t="s">
        <v>9</v>
      </c>
      <c r="D23" s="4" t="n">
        <v>1</v>
      </c>
      <c r="E23" s="4" t="n">
        <v>2</v>
      </c>
      <c r="F23" s="5" t="s">
        <v>49</v>
      </c>
    </row>
    <row r="24" customFormat="false" ht="28.35" hidden="false" customHeight="false" outlineLevel="0" collapsed="false">
      <c r="A24" s="4" t="n">
        <v>21</v>
      </c>
      <c r="B24" s="5" t="s">
        <v>50</v>
      </c>
      <c r="C24" s="4" t="s">
        <v>9</v>
      </c>
      <c r="D24" s="4" t="n">
        <v>2</v>
      </c>
      <c r="E24" s="4" t="n">
        <v>2</v>
      </c>
      <c r="F24" s="5" t="s">
        <v>51</v>
      </c>
    </row>
    <row r="25" customFormat="false" ht="15" hidden="false" customHeight="false" outlineLevel="0" collapsed="false">
      <c r="A25" s="4" t="n">
        <v>22</v>
      </c>
      <c r="B25" s="5" t="s">
        <v>52</v>
      </c>
      <c r="C25" s="4" t="s">
        <v>9</v>
      </c>
      <c r="D25" s="4" t="n">
        <v>1</v>
      </c>
      <c r="E25" s="4" t="n">
        <v>2</v>
      </c>
      <c r="F25" s="5" t="s">
        <v>53</v>
      </c>
    </row>
    <row r="26" customFormat="false" ht="15" hidden="false" customHeight="false" outlineLevel="0" collapsed="false">
      <c r="A26" s="4" t="n">
        <v>23</v>
      </c>
      <c r="B26" s="5" t="s">
        <v>54</v>
      </c>
      <c r="C26" s="4" t="s">
        <v>9</v>
      </c>
      <c r="D26" s="4" t="n">
        <v>2</v>
      </c>
      <c r="E26" s="4" t="n">
        <v>2</v>
      </c>
      <c r="F26" s="5" t="s">
        <v>55</v>
      </c>
    </row>
    <row r="27" customFormat="false" ht="41.75" hidden="false" customHeight="false" outlineLevel="0" collapsed="false">
      <c r="A27" s="4" t="n">
        <v>24</v>
      </c>
      <c r="B27" s="5" t="s">
        <v>56</v>
      </c>
      <c r="C27" s="4" t="s">
        <v>35</v>
      </c>
      <c r="D27" s="4" t="n">
        <v>1</v>
      </c>
      <c r="E27" s="4" t="s">
        <v>57</v>
      </c>
      <c r="F27" s="5" t="s">
        <v>58</v>
      </c>
    </row>
    <row r="28" customFormat="false" ht="28.35" hidden="false" customHeight="false" outlineLevel="0" collapsed="false">
      <c r="A28" s="4" t="n">
        <v>25</v>
      </c>
      <c r="B28" s="5" t="s">
        <v>59</v>
      </c>
      <c r="C28" s="4" t="s">
        <v>9</v>
      </c>
      <c r="D28" s="4" t="n">
        <v>2</v>
      </c>
      <c r="E28" s="4" t="n">
        <v>2</v>
      </c>
      <c r="F28" s="5" t="s">
        <v>60</v>
      </c>
    </row>
    <row r="29" customFormat="false" ht="15" hidden="false" customHeight="false" outlineLevel="0" collapsed="false">
      <c r="A29" s="4" t="n">
        <v>26</v>
      </c>
      <c r="B29" s="5" t="s">
        <v>61</v>
      </c>
      <c r="C29" s="4" t="s">
        <v>62</v>
      </c>
      <c r="D29" s="4" t="n">
        <v>6</v>
      </c>
      <c r="E29" s="4" t="s">
        <v>36</v>
      </c>
      <c r="F29" s="5" t="s">
        <v>63</v>
      </c>
    </row>
    <row r="30" customFormat="false" ht="28.35" hidden="false" customHeight="false" outlineLevel="0" collapsed="false">
      <c r="A30" s="4" t="n">
        <v>27</v>
      </c>
      <c r="B30" s="5" t="s">
        <v>64</v>
      </c>
      <c r="C30" s="4" t="s">
        <v>9</v>
      </c>
      <c r="D30" s="4" t="n">
        <v>2</v>
      </c>
      <c r="E30" s="4" t="n">
        <v>2</v>
      </c>
      <c r="F30" s="5" t="s">
        <v>65</v>
      </c>
    </row>
  </sheetData>
  <mergeCells count="2">
    <mergeCell ref="A1:F1"/>
    <mergeCell ref="A2:F2"/>
  </mergeCells>
  <conditionalFormatting sqref="C4:C30">
    <cfRule type="cellIs" priority="2" operator="equal" aboveAverage="0" equalAverage="0" bottom="0" percent="0" rank="0" text="" dxfId="0">
      <formula>"Terminado"</formula>
    </cfRule>
    <cfRule type="cellIs" priority="3" operator="equal" aboveAverage="0" equalAverage="0" bottom="0" percent="0" rank="0" text="" dxfId="1">
      <formula>"En desarrollo"</formula>
    </cfRule>
    <cfRule type="cellIs" priority="4" operator="equal" aboveAverage="0" equalAverage="0" bottom="0" percent="0" rank="0" text="" dxfId="2">
      <formula>"Planeado"</formula>
    </cfRule>
    <cfRule type="cellIs" priority="5" operator="equal" aboveAverage="0" equalAverage="0" bottom="0" percent="0" rank="0" text="" dxfId="0">
      <formula>"Corregido"</formula>
    </cfRule>
    <cfRule type="cellIs" priority="6" operator="equal" aboveAverage="0" equalAverage="0" bottom="0" percent="0" rank="0" text="" dxfId="0">
      <formula>"Aprobada"</formula>
    </cfRule>
    <cfRule type="cellIs" priority="7" operator="equal" aboveAverage="0" equalAverage="0" bottom="0" percent="0" rank="0" text="" dxfId="1">
      <formula>"Por verificar"</formula>
    </cfRule>
    <cfRule type="cellIs" priority="8" operator="equal" aboveAverage="0" equalAverage="0" bottom="0" percent="0" rank="0" text="" dxfId="1">
      <formula>"Pendiente"</formula>
    </cfRule>
    <cfRule type="cellIs" priority="9" operator="equal" aboveAverage="0" equalAverage="0" bottom="0" percent="0" rank="0" text="" dxfId="3">
      <formula>"Abierto"</formula>
    </cfRule>
  </conditionalFormatting>
  <dataValidations count="1">
    <dataValidation allowBlank="true" errorStyle="stop" operator="between" showDropDown="false" showErrorMessage="false" showInputMessage="false" sqref="C4:C30" type="list">
      <formula1>"Terminado,En desarrollo,Planeado,Sin planear"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60"/>
    <col collapsed="false" customWidth="true" hidden="false" outlineLevel="0" max="7" min="7" style="0" width="22"/>
  </cols>
  <sheetData>
    <row r="1" customFormat="false" ht="17.35" hidden="false" customHeight="false" outlineLevel="0" collapsed="false">
      <c r="A1" s="1" t="s">
        <v>66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67</v>
      </c>
      <c r="B2" s="2"/>
      <c r="C2" s="2"/>
      <c r="D2" s="2"/>
      <c r="E2" s="2"/>
      <c r="F2" s="2"/>
      <c r="G2" s="2"/>
    </row>
    <row r="3" customFormat="false" ht="30" hidden="false" customHeight="true" outlineLevel="0" collapsed="false">
      <c r="A3" s="3" t="s">
        <v>6</v>
      </c>
      <c r="B3" s="3" t="s">
        <v>68</v>
      </c>
      <c r="C3" s="3" t="s">
        <v>5</v>
      </c>
      <c r="D3" s="3" t="s">
        <v>69</v>
      </c>
      <c r="E3" s="3" t="s">
        <v>4</v>
      </c>
      <c r="F3" s="3" t="s">
        <v>70</v>
      </c>
      <c r="G3" s="3" t="s">
        <v>71</v>
      </c>
    </row>
    <row r="4" customFormat="false" ht="28.35" hidden="false" customHeight="false" outlineLevel="0" collapsed="false">
      <c r="A4" s="4" t="n">
        <v>1</v>
      </c>
      <c r="B4" s="6" t="n">
        <v>46266</v>
      </c>
      <c r="C4" s="7" t="n">
        <f aca="false">D4-B4+1</f>
        <v>18</v>
      </c>
      <c r="D4" s="6" t="n">
        <v>46283</v>
      </c>
      <c r="E4" s="4" t="s">
        <v>9</v>
      </c>
      <c r="F4" s="5" t="s">
        <v>72</v>
      </c>
      <c r="G4" s="5" t="s">
        <v>73</v>
      </c>
    </row>
    <row r="5" customFormat="false" ht="41.75" hidden="false" customHeight="false" outlineLevel="0" collapsed="false">
      <c r="A5" s="4" t="n">
        <v>2</v>
      </c>
      <c r="B5" s="6" t="n">
        <v>46284</v>
      </c>
      <c r="C5" s="7" t="n">
        <f aca="false">D5-B5+1</f>
        <v>42</v>
      </c>
      <c r="D5" s="6" t="n">
        <v>46325</v>
      </c>
      <c r="E5" s="4" t="s">
        <v>35</v>
      </c>
      <c r="F5" s="5" t="s">
        <v>74</v>
      </c>
      <c r="G5" s="5" t="s">
        <v>75</v>
      </c>
    </row>
    <row r="6" customFormat="false" ht="28.35" hidden="false" customHeight="false" outlineLevel="0" collapsed="false">
      <c r="A6" s="4" t="n">
        <v>3</v>
      </c>
      <c r="B6" s="6" t="n">
        <v>46326</v>
      </c>
      <c r="C6" s="7" t="n">
        <f aca="false">D6-B6+1</f>
        <v>21</v>
      </c>
      <c r="D6" s="6" t="n">
        <v>46346</v>
      </c>
      <c r="E6" s="4" t="s">
        <v>62</v>
      </c>
      <c r="F6" s="5" t="s">
        <v>76</v>
      </c>
      <c r="G6" s="5" t="s">
        <v>77</v>
      </c>
    </row>
    <row r="7" customFormat="false" ht="15" hidden="false" customHeight="false" outlineLevel="0" collapsed="false">
      <c r="A7" s="4" t="n">
        <v>4</v>
      </c>
      <c r="B7" s="6" t="n">
        <v>46347</v>
      </c>
      <c r="C7" s="7" t="n">
        <f aca="false">D7-B7+1</f>
        <v>10</v>
      </c>
      <c r="D7" s="6" t="n">
        <v>46356</v>
      </c>
      <c r="E7" s="4" t="s">
        <v>62</v>
      </c>
      <c r="F7" s="5" t="s">
        <v>78</v>
      </c>
      <c r="G7" s="5" t="s">
        <v>79</v>
      </c>
    </row>
  </sheetData>
  <mergeCells count="2">
    <mergeCell ref="A1:G1"/>
    <mergeCell ref="A2:G2"/>
  </mergeCells>
  <conditionalFormatting sqref="E4:E7">
    <cfRule type="cellIs" priority="2" operator="equal" aboveAverage="0" equalAverage="0" bottom="0" percent="0" rank="0" text="" dxfId="0">
      <formula>"Terminado"</formula>
    </cfRule>
    <cfRule type="cellIs" priority="3" operator="equal" aboveAverage="0" equalAverage="0" bottom="0" percent="0" rank="0" text="" dxfId="1">
      <formula>"En desarrollo"</formula>
    </cfRule>
    <cfRule type="cellIs" priority="4" operator="equal" aboveAverage="0" equalAverage="0" bottom="0" percent="0" rank="0" text="" dxfId="2">
      <formula>"Planeado"</formula>
    </cfRule>
    <cfRule type="cellIs" priority="5" operator="equal" aboveAverage="0" equalAverage="0" bottom="0" percent="0" rank="0" text="" dxfId="0">
      <formula>"Corregido"</formula>
    </cfRule>
    <cfRule type="cellIs" priority="6" operator="equal" aboveAverage="0" equalAverage="0" bottom="0" percent="0" rank="0" text="" dxfId="0">
      <formula>"Aprobada"</formula>
    </cfRule>
    <cfRule type="cellIs" priority="7" operator="equal" aboveAverage="0" equalAverage="0" bottom="0" percent="0" rank="0" text="" dxfId="1">
      <formula>"Por verificar"</formula>
    </cfRule>
    <cfRule type="cellIs" priority="8" operator="equal" aboveAverage="0" equalAverage="0" bottom="0" percent="0" rank="0" text="" dxfId="1">
      <formula>"Pendiente"</formula>
    </cfRule>
    <cfRule type="cellIs" priority="9" operator="equal" aboveAverage="0" equalAverage="0" bottom="0" percent="0" rank="0" text="" dxfId="3">
      <formula>"Abierto"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58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7" min="7" style="0" width="10"/>
    <col collapsed="false" customWidth="true" hidden="false" outlineLevel="0" max="9" min="8" style="0" width="12"/>
  </cols>
  <sheetData>
    <row r="1" customFormat="false" ht="17.35" hidden="false" customHeight="false" outlineLevel="0" collapsed="false">
      <c r="A1" s="1" t="s">
        <v>80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81</v>
      </c>
      <c r="B2" s="2"/>
      <c r="C2" s="2"/>
      <c r="D2" s="2"/>
      <c r="E2" s="2"/>
      <c r="F2" s="2"/>
      <c r="G2" s="2"/>
      <c r="H2" s="2"/>
      <c r="I2" s="2"/>
    </row>
    <row r="3" customFormat="false" ht="30" hidden="false" customHeight="true" outlineLevel="0" collapsed="false">
      <c r="A3" s="3" t="s">
        <v>82</v>
      </c>
      <c r="B3" s="3" t="s">
        <v>2</v>
      </c>
      <c r="C3" s="3" t="s">
        <v>83</v>
      </c>
      <c r="D3" s="3" t="s">
        <v>84</v>
      </c>
      <c r="E3" s="3" t="s">
        <v>85</v>
      </c>
      <c r="F3" s="3" t="s">
        <v>4</v>
      </c>
      <c r="G3" s="3" t="s">
        <v>86</v>
      </c>
      <c r="H3" s="3" t="s">
        <v>68</v>
      </c>
      <c r="I3" s="3" t="s">
        <v>69</v>
      </c>
    </row>
    <row r="4" customFormat="false" ht="15" hidden="false" customHeight="false" outlineLevel="0" collapsed="false">
      <c r="A4" s="4" t="s">
        <v>87</v>
      </c>
      <c r="B4" s="4" t="n">
        <v>15</v>
      </c>
      <c r="C4" s="5" t="s">
        <v>88</v>
      </c>
      <c r="D4" s="5" t="s">
        <v>89</v>
      </c>
      <c r="E4" s="5" t="s">
        <v>90</v>
      </c>
      <c r="F4" s="4" t="s">
        <v>9</v>
      </c>
      <c r="G4" s="4" t="n">
        <v>6</v>
      </c>
      <c r="H4" s="6" t="n">
        <v>46284</v>
      </c>
      <c r="I4" s="6" t="n">
        <v>46295</v>
      </c>
    </row>
    <row r="5" customFormat="false" ht="15" hidden="false" customHeight="false" outlineLevel="0" collapsed="false">
      <c r="A5" s="4" t="s">
        <v>91</v>
      </c>
      <c r="B5" s="4" t="n">
        <v>2</v>
      </c>
      <c r="C5" s="5" t="s">
        <v>92</v>
      </c>
      <c r="D5" s="5" t="s">
        <v>89</v>
      </c>
      <c r="E5" s="5" t="s">
        <v>90</v>
      </c>
      <c r="F5" s="4" t="s">
        <v>9</v>
      </c>
      <c r="G5" s="4" t="n">
        <v>4</v>
      </c>
      <c r="H5" s="6" t="n">
        <v>46291</v>
      </c>
      <c r="I5" s="6" t="n">
        <v>46295</v>
      </c>
    </row>
    <row r="6" customFormat="false" ht="15" hidden="false" customHeight="false" outlineLevel="0" collapsed="false">
      <c r="A6" s="4" t="s">
        <v>93</v>
      </c>
      <c r="B6" s="4" t="n">
        <v>1</v>
      </c>
      <c r="C6" s="5" t="s">
        <v>94</v>
      </c>
      <c r="D6" s="5" t="s">
        <v>89</v>
      </c>
      <c r="E6" s="5" t="s">
        <v>90</v>
      </c>
      <c r="F6" s="4" t="s">
        <v>9</v>
      </c>
      <c r="G6" s="4" t="n">
        <v>8</v>
      </c>
      <c r="H6" s="6" t="n">
        <v>46291</v>
      </c>
      <c r="I6" s="6" t="n">
        <v>46295</v>
      </c>
    </row>
    <row r="7" customFormat="false" ht="15" hidden="false" customHeight="false" outlineLevel="0" collapsed="false">
      <c r="A7" s="4" t="s">
        <v>95</v>
      </c>
      <c r="B7" s="4" t="n">
        <v>4</v>
      </c>
      <c r="C7" s="5" t="s">
        <v>96</v>
      </c>
      <c r="D7" s="5" t="s">
        <v>89</v>
      </c>
      <c r="E7" s="5" t="s">
        <v>90</v>
      </c>
      <c r="F7" s="4" t="s">
        <v>9</v>
      </c>
      <c r="G7" s="4" t="n">
        <v>3</v>
      </c>
      <c r="H7" s="6" t="n">
        <v>46294</v>
      </c>
      <c r="I7" s="6" t="n">
        <v>46295</v>
      </c>
    </row>
    <row r="8" customFormat="false" ht="15" hidden="false" customHeight="false" outlineLevel="0" collapsed="false">
      <c r="A8" s="4" t="s">
        <v>97</v>
      </c>
      <c r="B8" s="4" t="n">
        <v>2</v>
      </c>
      <c r="C8" s="5" t="s">
        <v>98</v>
      </c>
      <c r="D8" s="5" t="s">
        <v>89</v>
      </c>
      <c r="E8" s="5" t="s">
        <v>90</v>
      </c>
      <c r="F8" s="4" t="s">
        <v>9</v>
      </c>
      <c r="G8" s="4" t="n">
        <v>6</v>
      </c>
      <c r="H8" s="6" t="n">
        <v>46294</v>
      </c>
      <c r="I8" s="6" t="n">
        <v>46295</v>
      </c>
    </row>
    <row r="9" customFormat="false" ht="28.35" hidden="false" customHeight="false" outlineLevel="0" collapsed="false">
      <c r="A9" s="4" t="s">
        <v>99</v>
      </c>
      <c r="B9" s="4" t="n">
        <v>3</v>
      </c>
      <c r="C9" s="5" t="s">
        <v>100</v>
      </c>
      <c r="D9" s="5" t="s">
        <v>89</v>
      </c>
      <c r="E9" s="5" t="s">
        <v>90</v>
      </c>
      <c r="F9" s="4" t="s">
        <v>9</v>
      </c>
      <c r="G9" s="4" t="n">
        <v>6</v>
      </c>
      <c r="H9" s="6" t="n">
        <v>46294</v>
      </c>
      <c r="I9" s="6" t="n">
        <v>46295</v>
      </c>
    </row>
    <row r="10" customFormat="false" ht="15" hidden="false" customHeight="false" outlineLevel="0" collapsed="false">
      <c r="A10" s="4" t="s">
        <v>101</v>
      </c>
      <c r="B10" s="4" t="n">
        <v>15</v>
      </c>
      <c r="C10" s="5" t="s">
        <v>102</v>
      </c>
      <c r="D10" s="5" t="s">
        <v>89</v>
      </c>
      <c r="E10" s="5" t="s">
        <v>90</v>
      </c>
      <c r="F10" s="4" t="s">
        <v>9</v>
      </c>
      <c r="G10" s="4" t="n">
        <v>5</v>
      </c>
      <c r="H10" s="6" t="n">
        <v>46295</v>
      </c>
      <c r="I10" s="6" t="n">
        <v>46295</v>
      </c>
    </row>
    <row r="11" customFormat="false" ht="15" hidden="false" customHeight="false" outlineLevel="0" collapsed="false">
      <c r="A11" s="4" t="s">
        <v>103</v>
      </c>
      <c r="B11" s="4" t="n">
        <v>14</v>
      </c>
      <c r="C11" s="5" t="s">
        <v>104</v>
      </c>
      <c r="D11" s="5" t="s">
        <v>89</v>
      </c>
      <c r="E11" s="5" t="s">
        <v>90</v>
      </c>
      <c r="F11" s="4" t="s">
        <v>9</v>
      </c>
      <c r="G11" s="4" t="n">
        <v>10</v>
      </c>
      <c r="H11" s="6" t="n">
        <v>46296</v>
      </c>
      <c r="I11" s="6" t="n">
        <v>46299</v>
      </c>
    </row>
    <row r="12" customFormat="false" ht="15" hidden="false" customHeight="false" outlineLevel="0" collapsed="false">
      <c r="A12" s="4" t="s">
        <v>105</v>
      </c>
      <c r="B12" s="4" t="n">
        <v>6</v>
      </c>
      <c r="C12" s="5" t="s">
        <v>106</v>
      </c>
      <c r="D12" s="5" t="s">
        <v>89</v>
      </c>
      <c r="E12" s="5" t="s">
        <v>90</v>
      </c>
      <c r="F12" s="4" t="s">
        <v>9</v>
      </c>
      <c r="G12" s="4" t="n">
        <v>6</v>
      </c>
      <c r="H12" s="6" t="n">
        <v>46297</v>
      </c>
      <c r="I12" s="6" t="n">
        <v>46299</v>
      </c>
    </row>
    <row r="13" customFormat="false" ht="15" hidden="false" customHeight="false" outlineLevel="0" collapsed="false">
      <c r="A13" s="4" t="s">
        <v>107</v>
      </c>
      <c r="B13" s="4" t="n">
        <v>8</v>
      </c>
      <c r="C13" s="5" t="s">
        <v>108</v>
      </c>
      <c r="D13" s="5" t="s">
        <v>89</v>
      </c>
      <c r="E13" s="5" t="s">
        <v>90</v>
      </c>
      <c r="F13" s="4" t="s">
        <v>9</v>
      </c>
      <c r="G13" s="4" t="n">
        <v>6</v>
      </c>
      <c r="H13" s="6" t="n">
        <v>46297</v>
      </c>
      <c r="I13" s="6" t="n">
        <v>46299</v>
      </c>
    </row>
    <row r="14" customFormat="false" ht="15" hidden="false" customHeight="false" outlineLevel="0" collapsed="false">
      <c r="A14" s="4" t="s">
        <v>109</v>
      </c>
      <c r="B14" s="4" t="n">
        <v>10</v>
      </c>
      <c r="C14" s="5" t="s">
        <v>110</v>
      </c>
      <c r="D14" s="5" t="s">
        <v>89</v>
      </c>
      <c r="E14" s="5" t="s">
        <v>90</v>
      </c>
      <c r="F14" s="4" t="s">
        <v>9</v>
      </c>
      <c r="G14" s="4" t="n">
        <v>6</v>
      </c>
      <c r="H14" s="6" t="n">
        <v>46298</v>
      </c>
      <c r="I14" s="6" t="n">
        <v>46299</v>
      </c>
    </row>
    <row r="15" customFormat="false" ht="15" hidden="false" customHeight="false" outlineLevel="0" collapsed="false">
      <c r="A15" s="4" t="s">
        <v>111</v>
      </c>
      <c r="B15" s="4" t="n">
        <v>11</v>
      </c>
      <c r="C15" s="5" t="s">
        <v>112</v>
      </c>
      <c r="D15" s="5" t="s">
        <v>89</v>
      </c>
      <c r="E15" s="5" t="s">
        <v>90</v>
      </c>
      <c r="F15" s="4" t="s">
        <v>9</v>
      </c>
      <c r="G15" s="4" t="n">
        <v>8</v>
      </c>
      <c r="H15" s="6" t="n">
        <v>46298</v>
      </c>
      <c r="I15" s="6" t="n">
        <v>46299</v>
      </c>
    </row>
    <row r="16" customFormat="false" ht="15" hidden="false" customHeight="false" outlineLevel="0" collapsed="false">
      <c r="A16" s="4" t="s">
        <v>113</v>
      </c>
      <c r="B16" s="4" t="n">
        <v>12</v>
      </c>
      <c r="C16" s="5" t="s">
        <v>114</v>
      </c>
      <c r="D16" s="5" t="s">
        <v>89</v>
      </c>
      <c r="E16" s="5" t="s">
        <v>90</v>
      </c>
      <c r="F16" s="4" t="s">
        <v>9</v>
      </c>
      <c r="G16" s="4" t="n">
        <v>3</v>
      </c>
      <c r="H16" s="6" t="n">
        <v>46299</v>
      </c>
      <c r="I16" s="6" t="n">
        <v>46299</v>
      </c>
    </row>
    <row r="17" customFormat="false" ht="15" hidden="false" customHeight="false" outlineLevel="0" collapsed="false">
      <c r="A17" s="4" t="s">
        <v>115</v>
      </c>
      <c r="B17" s="4" t="n">
        <v>15</v>
      </c>
      <c r="C17" s="5" t="s">
        <v>116</v>
      </c>
      <c r="D17" s="5" t="s">
        <v>89</v>
      </c>
      <c r="E17" s="5" t="s">
        <v>90</v>
      </c>
      <c r="F17" s="4" t="s">
        <v>9</v>
      </c>
      <c r="G17" s="4" t="n">
        <v>5</v>
      </c>
      <c r="H17" s="6" t="n">
        <v>46299</v>
      </c>
      <c r="I17" s="6" t="n">
        <v>46299</v>
      </c>
    </row>
    <row r="18" customFormat="false" ht="15" hidden="false" customHeight="false" outlineLevel="0" collapsed="false">
      <c r="A18" s="4" t="s">
        <v>117</v>
      </c>
      <c r="B18" s="4" t="n">
        <v>18</v>
      </c>
      <c r="C18" s="5" t="s">
        <v>118</v>
      </c>
      <c r="D18" s="5" t="s">
        <v>89</v>
      </c>
      <c r="E18" s="5" t="s">
        <v>90</v>
      </c>
      <c r="F18" s="4" t="s">
        <v>9</v>
      </c>
      <c r="G18" s="4" t="n">
        <v>5</v>
      </c>
      <c r="H18" s="6" t="n">
        <v>46299</v>
      </c>
      <c r="I18" s="6" t="n">
        <v>46299</v>
      </c>
    </row>
    <row r="19" customFormat="false" ht="15" hidden="false" customHeight="false" outlineLevel="0" collapsed="false">
      <c r="A19" s="4" t="s">
        <v>119</v>
      </c>
      <c r="B19" s="4" t="n">
        <v>20</v>
      </c>
      <c r="C19" s="5" t="s">
        <v>120</v>
      </c>
      <c r="D19" s="5" t="s">
        <v>89</v>
      </c>
      <c r="E19" s="5" t="s">
        <v>90</v>
      </c>
      <c r="F19" s="4" t="s">
        <v>9</v>
      </c>
      <c r="G19" s="4" t="n">
        <v>4</v>
      </c>
      <c r="H19" s="6" t="n">
        <v>46299</v>
      </c>
      <c r="I19" s="6" t="n">
        <v>46299</v>
      </c>
    </row>
    <row r="20" customFormat="false" ht="15" hidden="false" customHeight="false" outlineLevel="0" collapsed="false">
      <c r="A20" s="4" t="s">
        <v>121</v>
      </c>
      <c r="B20" s="4" t="n">
        <v>19</v>
      </c>
      <c r="C20" s="5" t="s">
        <v>122</v>
      </c>
      <c r="D20" s="5" t="s">
        <v>89</v>
      </c>
      <c r="E20" s="5" t="s">
        <v>90</v>
      </c>
      <c r="F20" s="4" t="s">
        <v>9</v>
      </c>
      <c r="G20" s="4" t="n">
        <v>6</v>
      </c>
      <c r="H20" s="6" t="n">
        <v>46300</v>
      </c>
      <c r="I20" s="6" t="n">
        <v>46300</v>
      </c>
    </row>
    <row r="21" customFormat="false" ht="15" hidden="false" customHeight="false" outlineLevel="0" collapsed="false">
      <c r="A21" s="4" t="s">
        <v>123</v>
      </c>
      <c r="B21" s="4" t="n">
        <v>19</v>
      </c>
      <c r="C21" s="5" t="s">
        <v>124</v>
      </c>
      <c r="D21" s="5" t="s">
        <v>89</v>
      </c>
      <c r="E21" s="5" t="s">
        <v>90</v>
      </c>
      <c r="F21" s="4" t="s">
        <v>9</v>
      </c>
      <c r="G21" s="4" t="n">
        <v>4</v>
      </c>
      <c r="H21" s="6" t="n">
        <v>46300</v>
      </c>
      <c r="I21" s="6" t="n">
        <v>46300</v>
      </c>
    </row>
    <row r="22" customFormat="false" ht="15" hidden="false" customHeight="false" outlineLevel="0" collapsed="false">
      <c r="A22" s="4" t="s">
        <v>125</v>
      </c>
      <c r="B22" s="4" t="n">
        <v>1</v>
      </c>
      <c r="C22" s="5" t="s">
        <v>126</v>
      </c>
      <c r="D22" s="5" t="s">
        <v>89</v>
      </c>
      <c r="E22" s="5" t="s">
        <v>90</v>
      </c>
      <c r="F22" s="4" t="s">
        <v>9</v>
      </c>
      <c r="G22" s="4" t="n">
        <v>4</v>
      </c>
      <c r="H22" s="6" t="n">
        <v>46300</v>
      </c>
      <c r="I22" s="6" t="n">
        <v>46300</v>
      </c>
    </row>
    <row r="23" customFormat="false" ht="28.35" hidden="false" customHeight="false" outlineLevel="0" collapsed="false">
      <c r="A23" s="4" t="s">
        <v>127</v>
      </c>
      <c r="B23" s="4" t="n">
        <v>23</v>
      </c>
      <c r="C23" s="5" t="s">
        <v>128</v>
      </c>
      <c r="D23" s="5" t="s">
        <v>89</v>
      </c>
      <c r="E23" s="5" t="s">
        <v>90</v>
      </c>
      <c r="F23" s="4" t="s">
        <v>9</v>
      </c>
      <c r="G23" s="4" t="n">
        <v>6</v>
      </c>
      <c r="H23" s="6" t="n">
        <v>46300</v>
      </c>
      <c r="I23" s="6" t="n">
        <v>46300</v>
      </c>
    </row>
    <row r="24" customFormat="false" ht="15" hidden="false" customHeight="false" outlineLevel="0" collapsed="false">
      <c r="A24" s="4" t="s">
        <v>129</v>
      </c>
      <c r="B24" s="4" t="n">
        <v>13</v>
      </c>
      <c r="C24" s="5" t="s">
        <v>130</v>
      </c>
      <c r="D24" s="5" t="s">
        <v>89</v>
      </c>
      <c r="E24" s="5" t="s">
        <v>90</v>
      </c>
      <c r="F24" s="4" t="s">
        <v>9</v>
      </c>
      <c r="G24" s="4" t="n">
        <v>2</v>
      </c>
      <c r="H24" s="6" t="n">
        <v>46300</v>
      </c>
      <c r="I24" s="6" t="n">
        <v>46300</v>
      </c>
    </row>
    <row r="25" customFormat="false" ht="15" hidden="false" customHeight="false" outlineLevel="0" collapsed="false">
      <c r="A25" s="4" t="s">
        <v>131</v>
      </c>
      <c r="B25" s="4" t="n">
        <v>11</v>
      </c>
      <c r="C25" s="5" t="s">
        <v>132</v>
      </c>
      <c r="D25" s="5" t="s">
        <v>89</v>
      </c>
      <c r="E25" s="5" t="s">
        <v>90</v>
      </c>
      <c r="F25" s="4" t="s">
        <v>9</v>
      </c>
      <c r="G25" s="4" t="n">
        <v>5</v>
      </c>
      <c r="H25" s="6" t="n">
        <v>46300</v>
      </c>
      <c r="I25" s="6" t="n">
        <v>46300</v>
      </c>
    </row>
    <row r="26" customFormat="false" ht="15" hidden="false" customHeight="false" outlineLevel="0" collapsed="false">
      <c r="A26" s="4" t="s">
        <v>133</v>
      </c>
      <c r="B26" s="4" t="n">
        <v>9</v>
      </c>
      <c r="C26" s="5" t="s">
        <v>134</v>
      </c>
      <c r="D26" s="5" t="s">
        <v>89</v>
      </c>
      <c r="E26" s="5" t="s">
        <v>90</v>
      </c>
      <c r="F26" s="4" t="s">
        <v>9</v>
      </c>
      <c r="G26" s="4" t="n">
        <v>4</v>
      </c>
      <c r="H26" s="6" t="n">
        <v>46300</v>
      </c>
      <c r="I26" s="6" t="n">
        <v>46300</v>
      </c>
    </row>
    <row r="27" customFormat="false" ht="15" hidden="false" customHeight="false" outlineLevel="0" collapsed="false">
      <c r="A27" s="4" t="s">
        <v>135</v>
      </c>
      <c r="B27" s="4" t="n">
        <v>22</v>
      </c>
      <c r="C27" s="5" t="s">
        <v>136</v>
      </c>
      <c r="D27" s="5" t="s">
        <v>89</v>
      </c>
      <c r="E27" s="5" t="s">
        <v>90</v>
      </c>
      <c r="F27" s="4" t="s">
        <v>9</v>
      </c>
      <c r="G27" s="4" t="n">
        <v>3</v>
      </c>
      <c r="H27" s="6" t="n">
        <v>46300</v>
      </c>
      <c r="I27" s="6" t="n">
        <v>46300</v>
      </c>
    </row>
    <row r="28" customFormat="false" ht="15" hidden="false" customHeight="false" outlineLevel="0" collapsed="false">
      <c r="A28" s="4" t="s">
        <v>137</v>
      </c>
      <c r="B28" s="4" t="n">
        <v>16</v>
      </c>
      <c r="C28" s="5" t="s">
        <v>138</v>
      </c>
      <c r="D28" s="5" t="s">
        <v>89</v>
      </c>
      <c r="E28" s="5" t="s">
        <v>90</v>
      </c>
      <c r="F28" s="4" t="s">
        <v>9</v>
      </c>
      <c r="G28" s="4" t="n">
        <v>4</v>
      </c>
      <c r="H28" s="6" t="n">
        <v>46300</v>
      </c>
      <c r="I28" s="6" t="n">
        <v>46300</v>
      </c>
    </row>
    <row r="29" customFormat="false" ht="15" hidden="false" customHeight="false" outlineLevel="0" collapsed="false">
      <c r="A29" s="4" t="s">
        <v>139</v>
      </c>
      <c r="B29" s="4" t="n">
        <v>17</v>
      </c>
      <c r="C29" s="5" t="s">
        <v>140</v>
      </c>
      <c r="D29" s="5" t="s">
        <v>89</v>
      </c>
      <c r="E29" s="5" t="s">
        <v>90</v>
      </c>
      <c r="F29" s="4" t="s">
        <v>9</v>
      </c>
      <c r="G29" s="4" t="n">
        <v>3</v>
      </c>
      <c r="H29" s="6" t="n">
        <v>46300</v>
      </c>
      <c r="I29" s="6" t="n">
        <v>46300</v>
      </c>
    </row>
    <row r="30" customFormat="false" ht="15" hidden="false" customHeight="false" outlineLevel="0" collapsed="false">
      <c r="A30" s="4" t="s">
        <v>141</v>
      </c>
      <c r="B30" s="4" t="n">
        <v>21</v>
      </c>
      <c r="C30" s="5" t="s">
        <v>142</v>
      </c>
      <c r="D30" s="5" t="s">
        <v>89</v>
      </c>
      <c r="E30" s="5" t="s">
        <v>90</v>
      </c>
      <c r="F30" s="4" t="s">
        <v>9</v>
      </c>
      <c r="G30" s="4" t="n">
        <v>6</v>
      </c>
      <c r="H30" s="6" t="n">
        <v>46300</v>
      </c>
      <c r="I30" s="6" t="n">
        <v>46300</v>
      </c>
    </row>
    <row r="31" customFormat="false" ht="15" hidden="false" customHeight="false" outlineLevel="0" collapsed="false">
      <c r="A31" s="4" t="s">
        <v>143</v>
      </c>
      <c r="B31" s="4" t="n">
        <v>18</v>
      </c>
      <c r="C31" s="5" t="s">
        <v>144</v>
      </c>
      <c r="D31" s="5" t="s">
        <v>89</v>
      </c>
      <c r="E31" s="5" t="s">
        <v>90</v>
      </c>
      <c r="F31" s="4" t="s">
        <v>9</v>
      </c>
      <c r="G31" s="4" t="n">
        <v>3</v>
      </c>
      <c r="H31" s="6" t="n">
        <v>46300</v>
      </c>
      <c r="I31" s="6" t="n">
        <v>46300</v>
      </c>
    </row>
    <row r="32" customFormat="false" ht="15" hidden="false" customHeight="false" outlineLevel="0" collapsed="false">
      <c r="A32" s="4" t="s">
        <v>145</v>
      </c>
      <c r="B32" s="4" t="n">
        <v>11</v>
      </c>
      <c r="C32" s="5" t="s">
        <v>146</v>
      </c>
      <c r="D32" s="5" t="s">
        <v>89</v>
      </c>
      <c r="E32" s="5" t="s">
        <v>90</v>
      </c>
      <c r="F32" s="4" t="s">
        <v>9</v>
      </c>
      <c r="G32" s="4" t="n">
        <v>2</v>
      </c>
      <c r="H32" s="6" t="n">
        <v>46302</v>
      </c>
      <c r="I32" s="6" t="n">
        <v>46302</v>
      </c>
    </row>
    <row r="33" customFormat="false" ht="15" hidden="false" customHeight="false" outlineLevel="0" collapsed="false">
      <c r="A33" s="4" t="s">
        <v>147</v>
      </c>
      <c r="B33" s="4" t="n">
        <v>24</v>
      </c>
      <c r="C33" s="5" t="s">
        <v>148</v>
      </c>
      <c r="D33" s="5" t="s">
        <v>89</v>
      </c>
      <c r="E33" s="5" t="s">
        <v>90</v>
      </c>
      <c r="F33" s="4" t="s">
        <v>9</v>
      </c>
      <c r="G33" s="4" t="n">
        <v>3</v>
      </c>
      <c r="H33" s="6" t="n">
        <v>46302</v>
      </c>
      <c r="I33" s="6" t="n">
        <v>46302</v>
      </c>
    </row>
    <row r="34" customFormat="false" ht="15" hidden="false" customHeight="false" outlineLevel="0" collapsed="false">
      <c r="A34" s="4" t="s">
        <v>149</v>
      </c>
      <c r="B34" s="4" t="n">
        <v>25</v>
      </c>
      <c r="C34" s="5" t="s">
        <v>150</v>
      </c>
      <c r="D34" s="5" t="s">
        <v>89</v>
      </c>
      <c r="E34" s="5" t="s">
        <v>90</v>
      </c>
      <c r="F34" s="4" t="s">
        <v>9</v>
      </c>
      <c r="G34" s="4" t="n">
        <v>3</v>
      </c>
      <c r="H34" s="6" t="n">
        <v>46302</v>
      </c>
      <c r="I34" s="6" t="n">
        <v>46302</v>
      </c>
    </row>
    <row r="35" customFormat="false" ht="15" hidden="false" customHeight="false" outlineLevel="0" collapsed="false">
      <c r="A35" s="4" t="s">
        <v>151</v>
      </c>
      <c r="B35" s="4" t="n">
        <v>14</v>
      </c>
      <c r="C35" s="5" t="s">
        <v>152</v>
      </c>
      <c r="D35" s="5" t="s">
        <v>89</v>
      </c>
      <c r="E35" s="5" t="s">
        <v>90</v>
      </c>
      <c r="F35" s="4" t="s">
        <v>35</v>
      </c>
      <c r="G35" s="4" t="n">
        <v>6</v>
      </c>
      <c r="H35" s="6" t="n">
        <v>46302</v>
      </c>
      <c r="I35" s="4"/>
    </row>
    <row r="36" customFormat="false" ht="15" hidden="false" customHeight="false" outlineLevel="0" collapsed="false">
      <c r="A36" s="4" t="s">
        <v>153</v>
      </c>
      <c r="B36" s="4" t="n">
        <v>24</v>
      </c>
      <c r="C36" s="5" t="s">
        <v>154</v>
      </c>
      <c r="D36" s="5" t="s">
        <v>89</v>
      </c>
      <c r="E36" s="5" t="s">
        <v>90</v>
      </c>
      <c r="F36" s="4" t="s">
        <v>35</v>
      </c>
      <c r="G36" s="4" t="n">
        <v>2</v>
      </c>
      <c r="H36" s="6" t="n">
        <v>46308</v>
      </c>
      <c r="I36" s="4"/>
    </row>
    <row r="37" customFormat="false" ht="15" hidden="false" customHeight="false" outlineLevel="0" collapsed="false">
      <c r="A37" s="4" t="s">
        <v>155</v>
      </c>
      <c r="B37" s="4" t="n">
        <v>25</v>
      </c>
      <c r="C37" s="5" t="s">
        <v>156</v>
      </c>
      <c r="D37" s="5" t="s">
        <v>89</v>
      </c>
      <c r="E37" s="5" t="s">
        <v>90</v>
      </c>
      <c r="F37" s="4" t="s">
        <v>9</v>
      </c>
      <c r="G37" s="4" t="n">
        <v>6</v>
      </c>
      <c r="H37" s="6" t="n">
        <v>46302</v>
      </c>
      <c r="I37" s="6" t="n">
        <v>46308</v>
      </c>
    </row>
    <row r="38" customFormat="false" ht="15" hidden="false" customHeight="false" outlineLevel="0" collapsed="false">
      <c r="A38" s="4" t="s">
        <v>157</v>
      </c>
      <c r="B38" s="4" t="n">
        <v>14</v>
      </c>
      <c r="C38" s="5" t="s">
        <v>158</v>
      </c>
      <c r="D38" s="5" t="s">
        <v>89</v>
      </c>
      <c r="E38" s="5" t="s">
        <v>90</v>
      </c>
      <c r="F38" s="4" t="s">
        <v>62</v>
      </c>
      <c r="G38" s="4" t="n">
        <v>1</v>
      </c>
      <c r="H38" s="4"/>
      <c r="I38" s="4"/>
    </row>
    <row r="39" customFormat="false" ht="15" hidden="false" customHeight="false" outlineLevel="0" collapsed="false">
      <c r="A39" s="4" t="s">
        <v>159</v>
      </c>
      <c r="B39" s="4" t="n">
        <v>21</v>
      </c>
      <c r="C39" s="5" t="s">
        <v>160</v>
      </c>
      <c r="D39" s="5" t="s">
        <v>89</v>
      </c>
      <c r="E39" s="5" t="s">
        <v>90</v>
      </c>
      <c r="F39" s="4" t="s">
        <v>9</v>
      </c>
      <c r="G39" s="4" t="n">
        <v>1</v>
      </c>
      <c r="H39" s="6" t="n">
        <v>46302</v>
      </c>
      <c r="I39" s="6" t="n">
        <v>46302</v>
      </c>
    </row>
    <row r="40" customFormat="false" ht="15" hidden="false" customHeight="false" outlineLevel="0" collapsed="false">
      <c r="A40" s="4" t="s">
        <v>161</v>
      </c>
      <c r="B40" s="4" t="n">
        <v>1</v>
      </c>
      <c r="C40" s="5" t="s">
        <v>162</v>
      </c>
      <c r="D40" s="5" t="s">
        <v>89</v>
      </c>
      <c r="E40" s="5" t="s">
        <v>90</v>
      </c>
      <c r="F40" s="4" t="s">
        <v>9</v>
      </c>
      <c r="G40" s="4" t="n">
        <v>2</v>
      </c>
      <c r="H40" s="6" t="n">
        <v>46308</v>
      </c>
      <c r="I40" s="6" t="n">
        <v>46308</v>
      </c>
    </row>
    <row r="41" customFormat="false" ht="15" hidden="false" customHeight="false" outlineLevel="0" collapsed="false">
      <c r="A41" s="4" t="s">
        <v>163</v>
      </c>
      <c r="B41" s="4" t="n">
        <v>20</v>
      </c>
      <c r="C41" s="5" t="s">
        <v>164</v>
      </c>
      <c r="D41" s="5" t="s">
        <v>89</v>
      </c>
      <c r="E41" s="5" t="s">
        <v>90</v>
      </c>
      <c r="F41" s="4" t="s">
        <v>9</v>
      </c>
      <c r="G41" s="4" t="n">
        <v>2</v>
      </c>
      <c r="H41" s="6" t="n">
        <v>46308</v>
      </c>
      <c r="I41" s="6" t="n">
        <v>46308</v>
      </c>
    </row>
    <row r="42" customFormat="false" ht="15" hidden="false" customHeight="false" outlineLevel="0" collapsed="false">
      <c r="A42" s="4" t="s">
        <v>165</v>
      </c>
      <c r="B42" s="4" t="n">
        <v>25</v>
      </c>
      <c r="C42" s="5" t="s">
        <v>166</v>
      </c>
      <c r="D42" s="5" t="s">
        <v>89</v>
      </c>
      <c r="E42" s="5" t="s">
        <v>90</v>
      </c>
      <c r="F42" s="4" t="s">
        <v>9</v>
      </c>
      <c r="G42" s="4" t="n">
        <v>3</v>
      </c>
      <c r="H42" s="6" t="n">
        <v>46308</v>
      </c>
      <c r="I42" s="6" t="n">
        <v>46308</v>
      </c>
    </row>
    <row r="43" customFormat="false" ht="28.35" hidden="false" customHeight="false" outlineLevel="0" collapsed="false">
      <c r="A43" s="4" t="s">
        <v>167</v>
      </c>
      <c r="B43" s="4" t="n">
        <v>27</v>
      </c>
      <c r="C43" s="5" t="s">
        <v>168</v>
      </c>
      <c r="D43" s="5" t="s">
        <v>89</v>
      </c>
      <c r="E43" s="5" t="s">
        <v>90</v>
      </c>
      <c r="F43" s="4" t="s">
        <v>9</v>
      </c>
      <c r="G43" s="4" t="n">
        <v>3</v>
      </c>
      <c r="H43" s="6" t="n">
        <v>46310</v>
      </c>
      <c r="I43" s="6" t="n">
        <v>46310</v>
      </c>
    </row>
    <row r="44" customFormat="false" ht="28.35" hidden="false" customHeight="false" outlineLevel="0" collapsed="false">
      <c r="A44" s="4" t="s">
        <v>169</v>
      </c>
      <c r="B44" s="4" t="n">
        <v>10</v>
      </c>
      <c r="C44" s="5" t="s">
        <v>170</v>
      </c>
      <c r="D44" s="5" t="s">
        <v>89</v>
      </c>
      <c r="E44" s="5" t="s">
        <v>90</v>
      </c>
      <c r="F44" s="4" t="s">
        <v>9</v>
      </c>
      <c r="G44" s="4" t="n">
        <v>2</v>
      </c>
      <c r="H44" s="6" t="n">
        <v>46310</v>
      </c>
      <c r="I44" s="6" t="n">
        <v>46310</v>
      </c>
    </row>
    <row r="45" customFormat="false" ht="15" hidden="false" customHeight="false" outlineLevel="0" collapsed="false">
      <c r="A45" s="4" t="s">
        <v>171</v>
      </c>
      <c r="B45" s="4" t="n">
        <v>1</v>
      </c>
      <c r="C45" s="5" t="s">
        <v>172</v>
      </c>
      <c r="D45" s="5" t="s">
        <v>89</v>
      </c>
      <c r="E45" s="5" t="s">
        <v>90</v>
      </c>
      <c r="F45" s="4" t="s">
        <v>9</v>
      </c>
      <c r="G45" s="4" t="n">
        <v>1</v>
      </c>
      <c r="H45" s="6" t="n">
        <v>46310</v>
      </c>
      <c r="I45" s="6" t="n">
        <v>46310</v>
      </c>
    </row>
    <row r="46" customFormat="false" ht="15" hidden="false" customHeight="false" outlineLevel="0" collapsed="false">
      <c r="A46" s="4" t="s">
        <v>173</v>
      </c>
      <c r="B46" s="4" t="n">
        <v>23</v>
      </c>
      <c r="C46" s="5" t="s">
        <v>174</v>
      </c>
      <c r="D46" s="5" t="s">
        <v>89</v>
      </c>
      <c r="E46" s="5" t="s">
        <v>90</v>
      </c>
      <c r="F46" s="4" t="s">
        <v>9</v>
      </c>
      <c r="G46" s="4" t="n">
        <v>3</v>
      </c>
      <c r="H46" s="6" t="n">
        <v>46310</v>
      </c>
      <c r="I46" s="6" t="n">
        <v>46310</v>
      </c>
    </row>
    <row r="47" customFormat="false" ht="28.35" hidden="false" customHeight="false" outlineLevel="0" collapsed="false">
      <c r="A47" s="4" t="s">
        <v>175</v>
      </c>
      <c r="B47" s="4" t="n">
        <v>19</v>
      </c>
      <c r="C47" s="5" t="s">
        <v>176</v>
      </c>
      <c r="D47" s="5" t="s">
        <v>89</v>
      </c>
      <c r="E47" s="5" t="s">
        <v>90</v>
      </c>
      <c r="F47" s="4" t="s">
        <v>9</v>
      </c>
      <c r="G47" s="4" t="n">
        <v>2</v>
      </c>
      <c r="H47" s="6" t="n">
        <v>46310</v>
      </c>
      <c r="I47" s="6" t="n">
        <v>46310</v>
      </c>
    </row>
    <row r="48" customFormat="false" ht="15" hidden="false" customHeight="false" outlineLevel="0" collapsed="false">
      <c r="A48" s="4" t="s">
        <v>177</v>
      </c>
      <c r="B48" s="4" t="n">
        <v>27</v>
      </c>
      <c r="C48" s="5" t="s">
        <v>178</v>
      </c>
      <c r="D48" s="5" t="s">
        <v>89</v>
      </c>
      <c r="E48" s="5" t="s">
        <v>90</v>
      </c>
      <c r="F48" s="4" t="s">
        <v>9</v>
      </c>
      <c r="G48" s="4" t="n">
        <v>2</v>
      </c>
      <c r="H48" s="6" t="n">
        <v>46315</v>
      </c>
      <c r="I48" s="6" t="n">
        <v>46315</v>
      </c>
    </row>
    <row r="49" customFormat="false" ht="15" hidden="false" customHeight="false" outlineLevel="0" collapsed="false">
      <c r="A49" s="4" t="s">
        <v>179</v>
      </c>
      <c r="B49" s="4" t="n">
        <v>24</v>
      </c>
      <c r="C49" s="5" t="s">
        <v>180</v>
      </c>
      <c r="D49" s="5" t="s">
        <v>89</v>
      </c>
      <c r="E49" s="5" t="s">
        <v>90</v>
      </c>
      <c r="F49" s="4" t="s">
        <v>9</v>
      </c>
      <c r="G49" s="4" t="n">
        <v>2</v>
      </c>
      <c r="H49" s="6" t="n">
        <v>46315</v>
      </c>
      <c r="I49" s="6" t="n">
        <v>46315</v>
      </c>
    </row>
    <row r="51" customFormat="false" ht="15" hidden="false" customHeight="false" outlineLevel="0" collapsed="false">
      <c r="F51" s="8" t="s">
        <v>181</v>
      </c>
      <c r="G51" s="8" t="n">
        <f aca="false">SUM(G4:G49)</f>
        <v>187</v>
      </c>
    </row>
    <row r="52" customFormat="false" ht="15" hidden="false" customHeight="false" outlineLevel="0" collapsed="false">
      <c r="F52" s="8" t="s">
        <v>182</v>
      </c>
      <c r="G52" s="8" t="str">
        <f aca="false">COUNTIF(F4:F49,"Terminado")&amp;" de "&amp;COUNTA(A4:A49)</f>
        <v>43 de 46</v>
      </c>
    </row>
    <row r="53" customFormat="false" ht="15" hidden="false" customHeight="false" outlineLevel="0" collapsed="false">
      <c r="F53" s="8" t="s">
        <v>183</v>
      </c>
      <c r="G53" s="9" t="n">
        <f aca="false">SUMIF(F4:F49,"Terminado",G4:G49)/G51</f>
        <v>0.951871657754011</v>
      </c>
    </row>
  </sheetData>
  <mergeCells count="2">
    <mergeCell ref="A1:I1"/>
    <mergeCell ref="A2:I2"/>
  </mergeCells>
  <conditionalFormatting sqref="F4:F49">
    <cfRule type="cellIs" priority="2" operator="equal" aboveAverage="0" equalAverage="0" bottom="0" percent="0" rank="0" text="" dxfId="0">
      <formula>"Terminado"</formula>
    </cfRule>
    <cfRule type="cellIs" priority="3" operator="equal" aboveAverage="0" equalAverage="0" bottom="0" percent="0" rank="0" text="" dxfId="1">
      <formula>"En desarrollo"</formula>
    </cfRule>
    <cfRule type="cellIs" priority="4" operator="equal" aboveAverage="0" equalAverage="0" bottom="0" percent="0" rank="0" text="" dxfId="2">
      <formula>"Planeado"</formula>
    </cfRule>
    <cfRule type="cellIs" priority="5" operator="equal" aboveAverage="0" equalAverage="0" bottom="0" percent="0" rank="0" text="" dxfId="0">
      <formula>"Corregido"</formula>
    </cfRule>
    <cfRule type="cellIs" priority="6" operator="equal" aboveAverage="0" equalAverage="0" bottom="0" percent="0" rank="0" text="" dxfId="0">
      <formula>"Aprobada"</formula>
    </cfRule>
    <cfRule type="cellIs" priority="7" operator="equal" aboveAverage="0" equalAverage="0" bottom="0" percent="0" rank="0" text="" dxfId="1">
      <formula>"Por verificar"</formula>
    </cfRule>
    <cfRule type="cellIs" priority="8" operator="equal" aboveAverage="0" equalAverage="0" bottom="0" percent="0" rank="0" text="" dxfId="1">
      <formula>"Pendiente"</formula>
    </cfRule>
    <cfRule type="cellIs" priority="9" operator="equal" aboveAverage="0" equalAverage="0" bottom="0" percent="0" rank="0" text="" dxfId="3">
      <formula>"Abierto"</formula>
    </cfRule>
  </conditionalFormatting>
  <dataValidations count="1">
    <dataValidation allowBlank="true" errorStyle="stop" operator="between" showDropDown="false" showErrorMessage="false" showInputMessage="false" sqref="F4:F49" type="list">
      <formula1>"Terminado,En desarrollo,Planeado"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4" min="2" style="0" width="48"/>
  </cols>
  <sheetData>
    <row r="1" customFormat="false" ht="17.35" hidden="false" customHeight="false" outlineLevel="0" collapsed="false">
      <c r="A1" s="1" t="s">
        <v>184</v>
      </c>
      <c r="B1" s="1"/>
      <c r="C1" s="1"/>
      <c r="D1" s="1"/>
    </row>
    <row r="2" customFormat="false" ht="15" hidden="false" customHeight="false" outlineLevel="0" collapsed="false">
      <c r="A2" s="2" t="s">
        <v>185</v>
      </c>
      <c r="B2" s="2"/>
      <c r="C2" s="2"/>
      <c r="D2" s="2"/>
    </row>
    <row r="3" customFormat="false" ht="30" hidden="false" customHeight="true" outlineLevel="0" collapsed="false">
      <c r="A3" s="3" t="s">
        <v>186</v>
      </c>
      <c r="B3" s="3" t="s">
        <v>187</v>
      </c>
      <c r="C3" s="3" t="s">
        <v>188</v>
      </c>
      <c r="D3" s="3" t="s">
        <v>189</v>
      </c>
    </row>
    <row r="4" customFormat="false" ht="28.35" hidden="false" customHeight="false" outlineLevel="0" collapsed="false">
      <c r="A4" s="6" t="n">
        <v>46284</v>
      </c>
      <c r="B4" s="5" t="s">
        <v>190</v>
      </c>
      <c r="C4" s="5" t="s">
        <v>191</v>
      </c>
      <c r="D4" s="5" t="s">
        <v>192</v>
      </c>
    </row>
    <row r="5" customFormat="false" ht="28.35" hidden="false" customHeight="false" outlineLevel="0" collapsed="false">
      <c r="A5" s="6" t="n">
        <v>46295</v>
      </c>
      <c r="B5" s="5" t="s">
        <v>193</v>
      </c>
      <c r="C5" s="5" t="s">
        <v>194</v>
      </c>
      <c r="D5" s="5" t="s">
        <v>195</v>
      </c>
    </row>
    <row r="6" customFormat="false" ht="28.35" hidden="false" customHeight="false" outlineLevel="0" collapsed="false">
      <c r="A6" s="6" t="n">
        <v>46299</v>
      </c>
      <c r="B6" s="5" t="s">
        <v>196</v>
      </c>
      <c r="C6" s="5" t="s">
        <v>197</v>
      </c>
      <c r="D6" s="5" t="s">
        <v>198</v>
      </c>
    </row>
    <row r="7" customFormat="false" ht="28.35" hidden="false" customHeight="false" outlineLevel="0" collapsed="false">
      <c r="A7" s="6" t="n">
        <v>46300</v>
      </c>
      <c r="B7" s="5" t="s">
        <v>199</v>
      </c>
      <c r="C7" s="5" t="s">
        <v>200</v>
      </c>
      <c r="D7" s="5" t="s">
        <v>201</v>
      </c>
    </row>
    <row r="8" customFormat="false" ht="41.75" hidden="false" customHeight="false" outlineLevel="0" collapsed="false">
      <c r="A8" s="6" t="n">
        <v>46302</v>
      </c>
      <c r="B8" s="5" t="s">
        <v>202</v>
      </c>
      <c r="C8" s="5" t="s">
        <v>203</v>
      </c>
      <c r="D8" s="5" t="s">
        <v>204</v>
      </c>
    </row>
    <row r="9" customFormat="false" ht="28.35" hidden="false" customHeight="false" outlineLevel="0" collapsed="false">
      <c r="A9" s="6" t="n">
        <v>46308</v>
      </c>
      <c r="B9" s="5" t="s">
        <v>205</v>
      </c>
      <c r="C9" s="5" t="s">
        <v>206</v>
      </c>
      <c r="D9" s="5" t="s">
        <v>207</v>
      </c>
    </row>
    <row r="10" customFormat="false" ht="68.65" hidden="false" customHeight="false" outlineLevel="0" collapsed="false">
      <c r="A10" s="6" t="n">
        <v>46310</v>
      </c>
      <c r="B10" s="5" t="s">
        <v>208</v>
      </c>
      <c r="C10" s="5" t="s">
        <v>209</v>
      </c>
      <c r="D10" s="5" t="s">
        <v>210</v>
      </c>
    </row>
    <row r="11" customFormat="false" ht="28.35" hidden="false" customHeight="false" outlineLevel="0" collapsed="false">
      <c r="A11" s="6" t="n">
        <v>46315</v>
      </c>
      <c r="B11" s="5" t="s">
        <v>211</v>
      </c>
      <c r="C11" s="5" t="s">
        <v>212</v>
      </c>
      <c r="D11" s="5" t="s">
        <v>213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3"/>
  </cols>
  <sheetData>
    <row r="1" customFormat="false" ht="17.35" hidden="false" customHeight="false" outlineLevel="0" collapsed="false">
      <c r="A1" s="1" t="s">
        <v>214</v>
      </c>
      <c r="B1" s="1"/>
      <c r="C1" s="1"/>
    </row>
    <row r="2" customFormat="false" ht="15" hidden="false" customHeight="false" outlineLevel="0" collapsed="false">
      <c r="A2" s="10" t="s">
        <v>215</v>
      </c>
    </row>
    <row r="3" customFormat="false" ht="15" hidden="false" customHeight="false" outlineLevel="0" collapsed="false">
      <c r="A3" s="11" t="s">
        <v>4</v>
      </c>
      <c r="B3" s="11" t="s">
        <v>216</v>
      </c>
      <c r="C3" s="11" t="s">
        <v>217</v>
      </c>
    </row>
    <row r="4" customFormat="false" ht="15" hidden="false" customHeight="false" outlineLevel="0" collapsed="false">
      <c r="A4" s="12" t="s">
        <v>9</v>
      </c>
      <c r="B4" s="13" t="n">
        <f aca="false">COUNTIF('Feature Log'!$C$4:$C$30,A4)</f>
        <v>24</v>
      </c>
      <c r="C4" s="14" t="n">
        <f aca="false">IF(SUM($B$4:$B$7)=0,0,B4/SUM($B$4:$B$7))</f>
        <v>0.888888888888889</v>
      </c>
    </row>
    <row r="5" customFormat="false" ht="15" hidden="false" customHeight="false" outlineLevel="0" collapsed="false">
      <c r="A5" s="12" t="s">
        <v>35</v>
      </c>
      <c r="B5" s="13" t="n">
        <f aca="false">COUNTIF('Feature Log'!$C$4:$C$30,A5)</f>
        <v>2</v>
      </c>
      <c r="C5" s="14" t="n">
        <f aca="false">IF(SUM($B$4:$B$7)=0,0,B5/SUM($B$4:$B$7))</f>
        <v>0.0740740740740741</v>
      </c>
    </row>
    <row r="6" customFormat="false" ht="15" hidden="false" customHeight="false" outlineLevel="0" collapsed="false">
      <c r="A6" s="12" t="s">
        <v>62</v>
      </c>
      <c r="B6" s="13" t="n">
        <f aca="false">COUNTIF('Feature Log'!$C$4:$C$30,A6)</f>
        <v>1</v>
      </c>
      <c r="C6" s="14" t="n">
        <f aca="false">IF(SUM($B$4:$B$7)=0,0,B6/SUM($B$4:$B$7))</f>
        <v>0.037037037037037</v>
      </c>
    </row>
    <row r="7" customFormat="false" ht="15" hidden="false" customHeight="false" outlineLevel="0" collapsed="false">
      <c r="A7" s="12" t="s">
        <v>218</v>
      </c>
      <c r="B7" s="13" t="n">
        <f aca="false">COUNTIF('Feature Log'!$C$4:$C$30,A7)</f>
        <v>0</v>
      </c>
      <c r="C7" s="14" t="n">
        <f aca="false">IF(SUM($B$4:$B$7)=0,0,B7/SUM($B$4:$B$7))</f>
        <v>0</v>
      </c>
    </row>
    <row r="8" customFormat="false" ht="15" hidden="false" customHeight="false" outlineLevel="0" collapsed="false">
      <c r="A8" s="8" t="s">
        <v>219</v>
      </c>
      <c r="B8" s="15" t="n">
        <f aca="false">SUM(B4:B7)</f>
        <v>27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3"/>
  </cols>
  <sheetData>
    <row r="1" customFormat="false" ht="17.35" hidden="false" customHeight="false" outlineLevel="0" collapsed="false">
      <c r="A1" s="1" t="s">
        <v>220</v>
      </c>
      <c r="B1" s="1"/>
      <c r="C1" s="1"/>
      <c r="D1" s="1"/>
    </row>
    <row r="2" customFormat="false" ht="15" hidden="false" customHeight="false" outlineLevel="0" collapsed="false">
      <c r="A2" s="2" t="s">
        <v>221</v>
      </c>
      <c r="B2" s="2"/>
      <c r="C2" s="2"/>
      <c r="D2" s="2"/>
      <c r="E2" s="2"/>
      <c r="F2" s="2"/>
    </row>
    <row r="3" customFormat="false" ht="28.35" hidden="false" customHeight="false" outlineLevel="0" collapsed="false">
      <c r="A3" s="16" t="s">
        <v>186</v>
      </c>
      <c r="B3" s="16" t="s">
        <v>222</v>
      </c>
      <c r="C3" s="16" t="s">
        <v>223</v>
      </c>
      <c r="D3" s="16" t="s">
        <v>224</v>
      </c>
    </row>
    <row r="4" customFormat="false" ht="15" hidden="false" customHeight="false" outlineLevel="0" collapsed="false">
      <c r="A4" s="17" t="n">
        <v>46284</v>
      </c>
      <c r="B4" s="13" t="n">
        <f aca="false">ROUND('Sprint Backlog'!$G$51*('Sprint Plan'!$D$5-A4)/('Sprint Plan'!$D$5-'Sprint Plan'!$B$5),1)</f>
        <v>187</v>
      </c>
      <c r="C4" s="13" t="n">
        <f aca="false">'Sprint Backlog'!$G$51-SUMIFS('Sprint Backlog'!$G$4:$G$49,'Sprint Backlog'!$F$4:$F$49,"Terminado",'Sprint Backlog'!$I$4:$I$49,"&lt;="&amp;A4)</f>
        <v>187</v>
      </c>
      <c r="D4" s="13" t="n">
        <f aca="false">COUNTA('Sprint Backlog'!$A$4:$A$49)-COUNTIFS('Sprint Backlog'!$F$4:$F$49,"Terminado",'Sprint Backlog'!$I$4:$I$49,"&lt;="&amp;A4)</f>
        <v>46</v>
      </c>
    </row>
    <row r="5" customFormat="false" ht="15" hidden="false" customHeight="false" outlineLevel="0" collapsed="false">
      <c r="A5" s="17" t="n">
        <v>46288</v>
      </c>
      <c r="B5" s="13" t="n">
        <f aca="false">ROUND('Sprint Backlog'!$G$51*('Sprint Plan'!$D$5-A5)/('Sprint Plan'!$D$5-'Sprint Plan'!$B$5),1)</f>
        <v>168.8</v>
      </c>
      <c r="C5" s="13" t="n">
        <f aca="false">'Sprint Backlog'!$G$51-SUMIFS('Sprint Backlog'!$G$4:$G$49,'Sprint Backlog'!$F$4:$F$49,"Terminado",'Sprint Backlog'!$I$4:$I$49,"&lt;="&amp;A5)</f>
        <v>187</v>
      </c>
      <c r="D5" s="13" t="n">
        <f aca="false">COUNTA('Sprint Backlog'!$A$4:$A$49)-COUNTIFS('Sprint Backlog'!$F$4:$F$49,"Terminado",'Sprint Backlog'!$I$4:$I$49,"&lt;="&amp;A5)</f>
        <v>46</v>
      </c>
    </row>
    <row r="6" customFormat="false" ht="15" hidden="false" customHeight="false" outlineLevel="0" collapsed="false">
      <c r="A6" s="17" t="n">
        <v>46291</v>
      </c>
      <c r="B6" s="13" t="n">
        <f aca="false">ROUND('Sprint Backlog'!$G$51*('Sprint Plan'!$D$5-A6)/('Sprint Plan'!$D$5-'Sprint Plan'!$B$5),1)</f>
        <v>155.1</v>
      </c>
      <c r="C6" s="13" t="n">
        <f aca="false">'Sprint Backlog'!$G$51-SUMIFS('Sprint Backlog'!$G$4:$G$49,'Sprint Backlog'!$F$4:$F$49,"Terminado",'Sprint Backlog'!$I$4:$I$49,"&lt;="&amp;A6)</f>
        <v>187</v>
      </c>
      <c r="D6" s="13" t="n">
        <f aca="false">COUNTA('Sprint Backlog'!$A$4:$A$49)-COUNTIFS('Sprint Backlog'!$F$4:$F$49,"Terminado",'Sprint Backlog'!$I$4:$I$49,"&lt;="&amp;A6)</f>
        <v>46</v>
      </c>
    </row>
    <row r="7" customFormat="false" ht="15" hidden="false" customHeight="false" outlineLevel="0" collapsed="false">
      <c r="A7" s="17" t="n">
        <v>46295</v>
      </c>
      <c r="B7" s="13" t="n">
        <f aca="false">ROUND('Sprint Backlog'!$G$51*('Sprint Plan'!$D$5-A7)/('Sprint Plan'!$D$5-'Sprint Plan'!$B$5),1)</f>
        <v>136.8</v>
      </c>
      <c r="C7" s="13" t="n">
        <f aca="false">'Sprint Backlog'!$G$51-SUMIFS('Sprint Backlog'!$G$4:$G$49,'Sprint Backlog'!$F$4:$F$49,"Terminado",'Sprint Backlog'!$I$4:$I$49,"&lt;="&amp;A7)</f>
        <v>149</v>
      </c>
      <c r="D7" s="13" t="n">
        <f aca="false">COUNTA('Sprint Backlog'!$A$4:$A$49)-COUNTIFS('Sprint Backlog'!$F$4:$F$49,"Terminado",'Sprint Backlog'!$I$4:$I$49,"&lt;="&amp;A7)</f>
        <v>39</v>
      </c>
    </row>
    <row r="8" customFormat="false" ht="15" hidden="false" customHeight="false" outlineLevel="0" collapsed="false">
      <c r="A8" s="17" t="n">
        <v>46299</v>
      </c>
      <c r="B8" s="13" t="n">
        <f aca="false">ROUND('Sprint Backlog'!$G$51*('Sprint Plan'!$D$5-A8)/('Sprint Plan'!$D$5-'Sprint Plan'!$B$5),1)</f>
        <v>118.6</v>
      </c>
      <c r="C8" s="13" t="n">
        <f aca="false">'Sprint Backlog'!$G$51-SUMIFS('Sprint Backlog'!$G$4:$G$49,'Sprint Backlog'!$F$4:$F$49,"Terminado",'Sprint Backlog'!$I$4:$I$49,"&lt;="&amp;A8)</f>
        <v>96</v>
      </c>
      <c r="D8" s="13" t="n">
        <f aca="false">COUNTA('Sprint Backlog'!$A$4:$A$49)-COUNTIFS('Sprint Backlog'!$F$4:$F$49,"Terminado",'Sprint Backlog'!$I$4:$I$49,"&lt;="&amp;A8)</f>
        <v>30</v>
      </c>
    </row>
    <row r="9" customFormat="false" ht="15" hidden="false" customHeight="false" outlineLevel="0" collapsed="false">
      <c r="A9" s="17" t="n">
        <v>46300</v>
      </c>
      <c r="B9" s="13" t="n">
        <f aca="false">ROUND('Sprint Backlog'!$G$51*('Sprint Plan'!$D$5-A9)/('Sprint Plan'!$D$5-'Sprint Plan'!$B$5),1)</f>
        <v>114</v>
      </c>
      <c r="C9" s="13" t="n">
        <f aca="false">'Sprint Backlog'!$G$51-SUMIFS('Sprint Backlog'!$G$4:$G$49,'Sprint Backlog'!$F$4:$F$49,"Terminado",'Sprint Backlog'!$I$4:$I$49,"&lt;="&amp;A9)</f>
        <v>46</v>
      </c>
      <c r="D9" s="13" t="n">
        <f aca="false">COUNTA('Sprint Backlog'!$A$4:$A$49)-COUNTIFS('Sprint Backlog'!$F$4:$F$49,"Terminado",'Sprint Backlog'!$I$4:$I$49,"&lt;="&amp;A9)</f>
        <v>18</v>
      </c>
    </row>
    <row r="10" customFormat="false" ht="15" hidden="false" customHeight="false" outlineLevel="0" collapsed="false">
      <c r="A10" s="17" t="n">
        <v>46302</v>
      </c>
      <c r="B10" s="13" t="n">
        <f aca="false">ROUND('Sprint Backlog'!$G$51*('Sprint Plan'!$D$5-A10)/('Sprint Plan'!$D$5-'Sprint Plan'!$B$5),1)</f>
        <v>104.9</v>
      </c>
      <c r="C10" s="13" t="n">
        <f aca="false">'Sprint Backlog'!$G$51-SUMIFS('Sprint Backlog'!$G$4:$G$49,'Sprint Backlog'!$F$4:$F$49,"Terminado",'Sprint Backlog'!$I$4:$I$49,"&lt;="&amp;A10)</f>
        <v>37</v>
      </c>
      <c r="D10" s="13" t="n">
        <f aca="false">COUNTA('Sprint Backlog'!$A$4:$A$49)-COUNTIFS('Sprint Backlog'!$F$4:$F$49,"Terminado",'Sprint Backlog'!$I$4:$I$49,"&lt;="&amp;A10)</f>
        <v>14</v>
      </c>
    </row>
    <row r="11" customFormat="false" ht="15" hidden="false" customHeight="false" outlineLevel="0" collapsed="false">
      <c r="A11" s="17" t="n">
        <v>46308</v>
      </c>
      <c r="B11" s="13" t="n">
        <f aca="false">ROUND('Sprint Backlog'!$G$51*('Sprint Plan'!$D$5-A11)/('Sprint Plan'!$D$5-'Sprint Plan'!$B$5),1)</f>
        <v>77.5</v>
      </c>
      <c r="C11" s="13" t="n">
        <f aca="false">'Sprint Backlog'!$G$51-SUMIFS('Sprint Backlog'!$G$4:$G$49,'Sprint Backlog'!$F$4:$F$49,"Terminado",'Sprint Backlog'!$I$4:$I$49,"&lt;="&amp;A11)</f>
        <v>24</v>
      </c>
      <c r="D11" s="13" t="n">
        <f aca="false">COUNTA('Sprint Backlog'!$A$4:$A$49)-COUNTIFS('Sprint Backlog'!$F$4:$F$49,"Terminado",'Sprint Backlog'!$I$4:$I$49,"&lt;="&amp;A11)</f>
        <v>10</v>
      </c>
    </row>
    <row r="12" customFormat="false" ht="15" hidden="false" customHeight="false" outlineLevel="0" collapsed="false">
      <c r="A12" s="17" t="n">
        <v>46310</v>
      </c>
      <c r="B12" s="13" t="n">
        <f aca="false">ROUND('Sprint Backlog'!$G$51*('Sprint Plan'!$D$5-A12)/('Sprint Plan'!$D$5-'Sprint Plan'!$B$5),1)</f>
        <v>68.4</v>
      </c>
      <c r="C12" s="13" t="n">
        <f aca="false">'Sprint Backlog'!$G$51-SUMIFS('Sprint Backlog'!$G$4:$G$49,'Sprint Backlog'!$F$4:$F$49,"Terminado",'Sprint Backlog'!$I$4:$I$49,"&lt;="&amp;A12)</f>
        <v>13</v>
      </c>
      <c r="D12" s="13" t="n">
        <f aca="false">COUNTA('Sprint Backlog'!$A$4:$A$49)-COUNTIFS('Sprint Backlog'!$F$4:$F$49,"Terminado",'Sprint Backlog'!$I$4:$I$49,"&lt;="&amp;A12)</f>
        <v>5</v>
      </c>
    </row>
    <row r="13" customFormat="false" ht="15" hidden="false" customHeight="false" outlineLevel="0" collapsed="false">
      <c r="A13" s="17" t="n">
        <v>46315</v>
      </c>
      <c r="B13" s="13" t="n">
        <f aca="false">ROUND('Sprint Backlog'!$G$51*('Sprint Plan'!$D$5-A13)/('Sprint Plan'!$D$5-'Sprint Plan'!$B$5),1)</f>
        <v>45.6</v>
      </c>
      <c r="C13" s="13" t="n">
        <f aca="false">'Sprint Backlog'!$G$51-SUMIFS('Sprint Backlog'!$G$4:$G$49,'Sprint Backlog'!$F$4:$F$49,"Terminado",'Sprint Backlog'!$I$4:$I$49,"&lt;="&amp;A13)</f>
        <v>9</v>
      </c>
      <c r="D13" s="13" t="n">
        <f aca="false">COUNTA('Sprint Backlog'!$A$4:$A$49)-COUNTIFS('Sprint Backlog'!$F$4:$F$49,"Terminado",'Sprint Backlog'!$I$4:$I$49,"&lt;="&amp;A13)</f>
        <v>3</v>
      </c>
    </row>
    <row r="14" customFormat="false" ht="15" hidden="false" customHeight="false" outlineLevel="0" collapsed="false">
      <c r="A14" s="17" t="n">
        <v>46320</v>
      </c>
      <c r="B14" s="13" t="n">
        <f aca="false">ROUND('Sprint Backlog'!$G$51*('Sprint Plan'!$D$5-A14)/('Sprint Plan'!$D$5-'Sprint Plan'!$B$5),1)</f>
        <v>22.8</v>
      </c>
      <c r="C14" s="13"/>
      <c r="D14" s="13"/>
    </row>
    <row r="15" customFormat="false" ht="15" hidden="false" customHeight="false" outlineLevel="0" collapsed="false">
      <c r="A15" s="17" t="n">
        <v>46325</v>
      </c>
      <c r="B15" s="13" t="n">
        <f aca="false">ROUND('Sprint Backlog'!$G$51*('Sprint Plan'!$D$5-A15)/('Sprint Plan'!$D$5-'Sprint Plan'!$B$5),1)</f>
        <v>0</v>
      </c>
      <c r="C15" s="13"/>
      <c r="D15" s="13"/>
    </row>
  </sheetData>
  <mergeCells count="2">
    <mergeCell ref="A1:D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3"/>
  </cols>
  <sheetData>
    <row r="1" customFormat="false" ht="17.35" hidden="false" customHeight="false" outlineLevel="0" collapsed="false">
      <c r="A1" s="1" t="s">
        <v>225</v>
      </c>
      <c r="B1" s="1"/>
      <c r="C1" s="1"/>
    </row>
    <row r="2" customFormat="false" ht="15" hidden="false" customHeight="false" outlineLevel="0" collapsed="false">
      <c r="A2" s="10" t="s">
        <v>226</v>
      </c>
    </row>
    <row r="3" customFormat="false" ht="15" hidden="false" customHeight="false" outlineLevel="0" collapsed="false">
      <c r="A3" s="16" t="s">
        <v>186</v>
      </c>
      <c r="B3" s="16" t="s">
        <v>224</v>
      </c>
      <c r="C3" s="16" t="s">
        <v>227</v>
      </c>
    </row>
    <row r="4" customFormat="false" ht="15" hidden="false" customHeight="false" outlineLevel="0" collapsed="false">
      <c r="A4" s="17" t="n">
        <f aca="false">'Burn-down Chart'!A4</f>
        <v>46284</v>
      </c>
      <c r="B4" s="13" t="n">
        <f aca="false">'Burn-down Chart'!D4</f>
        <v>46</v>
      </c>
      <c r="C4" s="13" t="n">
        <f aca="false">COUNTA('Sprint Backlog'!$A$4:$A$49)-B4</f>
        <v>0</v>
      </c>
    </row>
    <row r="5" customFormat="false" ht="15" hidden="false" customHeight="false" outlineLevel="0" collapsed="false">
      <c r="A5" s="17" t="n">
        <f aca="false">'Burn-down Chart'!A5</f>
        <v>46288</v>
      </c>
      <c r="B5" s="13" t="n">
        <f aca="false">'Burn-down Chart'!D5</f>
        <v>46</v>
      </c>
      <c r="C5" s="13" t="n">
        <f aca="false">COUNTA('Sprint Backlog'!$A$4:$A$49)-B5</f>
        <v>0</v>
      </c>
    </row>
    <row r="6" customFormat="false" ht="15" hidden="false" customHeight="false" outlineLevel="0" collapsed="false">
      <c r="A6" s="17" t="n">
        <f aca="false">'Burn-down Chart'!A6</f>
        <v>46291</v>
      </c>
      <c r="B6" s="13" t="n">
        <f aca="false">'Burn-down Chart'!D6</f>
        <v>46</v>
      </c>
      <c r="C6" s="13" t="n">
        <f aca="false">COUNTA('Sprint Backlog'!$A$4:$A$49)-B6</f>
        <v>0</v>
      </c>
    </row>
    <row r="7" customFormat="false" ht="15" hidden="false" customHeight="false" outlineLevel="0" collapsed="false">
      <c r="A7" s="17" t="n">
        <f aca="false">'Burn-down Chart'!A7</f>
        <v>46295</v>
      </c>
      <c r="B7" s="13" t="n">
        <f aca="false">'Burn-down Chart'!D7</f>
        <v>39</v>
      </c>
      <c r="C7" s="13" t="n">
        <f aca="false">COUNTA('Sprint Backlog'!$A$4:$A$49)-B7</f>
        <v>7</v>
      </c>
    </row>
    <row r="8" customFormat="false" ht="15" hidden="false" customHeight="false" outlineLevel="0" collapsed="false">
      <c r="A8" s="17" t="n">
        <f aca="false">'Burn-down Chart'!A8</f>
        <v>46299</v>
      </c>
      <c r="B8" s="13" t="n">
        <f aca="false">'Burn-down Chart'!D8</f>
        <v>30</v>
      </c>
      <c r="C8" s="13" t="n">
        <f aca="false">COUNTA('Sprint Backlog'!$A$4:$A$49)-B8</f>
        <v>16</v>
      </c>
    </row>
    <row r="9" customFormat="false" ht="15" hidden="false" customHeight="false" outlineLevel="0" collapsed="false">
      <c r="A9" s="17" t="n">
        <f aca="false">'Burn-down Chart'!A9</f>
        <v>46300</v>
      </c>
      <c r="B9" s="13" t="n">
        <f aca="false">'Burn-down Chart'!D9</f>
        <v>18</v>
      </c>
      <c r="C9" s="13" t="n">
        <f aca="false">COUNTA('Sprint Backlog'!$A$4:$A$49)-B9</f>
        <v>28</v>
      </c>
    </row>
    <row r="10" customFormat="false" ht="15" hidden="false" customHeight="false" outlineLevel="0" collapsed="false">
      <c r="A10" s="17" t="n">
        <f aca="false">'Burn-down Chart'!A10</f>
        <v>46302</v>
      </c>
      <c r="B10" s="13" t="n">
        <f aca="false">'Burn-down Chart'!D10</f>
        <v>14</v>
      </c>
      <c r="C10" s="13" t="n">
        <f aca="false">COUNTA('Sprint Backlog'!$A$4:$A$49)-B10</f>
        <v>32</v>
      </c>
    </row>
    <row r="11" customFormat="false" ht="15" hidden="false" customHeight="false" outlineLevel="0" collapsed="false">
      <c r="A11" s="17" t="n">
        <f aca="false">'Burn-down Chart'!A11</f>
        <v>46308</v>
      </c>
      <c r="B11" s="13" t="n">
        <f aca="false">'Burn-down Chart'!D11</f>
        <v>10</v>
      </c>
      <c r="C11" s="13" t="n">
        <f aca="false">COUNTA('Sprint Backlog'!$A$4:$A$49)-B11</f>
        <v>36</v>
      </c>
    </row>
    <row r="12" customFormat="false" ht="15" hidden="false" customHeight="false" outlineLevel="0" collapsed="false">
      <c r="A12" s="17" t="n">
        <f aca="false">'Burn-down Chart'!A12</f>
        <v>46310</v>
      </c>
      <c r="B12" s="13" t="n">
        <f aca="false">'Burn-down Chart'!D12</f>
        <v>5</v>
      </c>
      <c r="C12" s="13" t="n">
        <f aca="false">COUNTA('Sprint Backlog'!$A$4:$A$49)-B12</f>
        <v>41</v>
      </c>
    </row>
    <row r="13" customFormat="false" ht="15" hidden="false" customHeight="false" outlineLevel="0" collapsed="false">
      <c r="A13" s="17" t="n">
        <f aca="false">'Burn-down Chart'!A13</f>
        <v>46315</v>
      </c>
      <c r="B13" s="13" t="n">
        <f aca="false">'Burn-down Chart'!D13</f>
        <v>3</v>
      </c>
      <c r="C13" s="13" t="n">
        <f aca="false">COUNTA('Sprint Backlog'!$A$4:$A$49)-B13</f>
        <v>43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4"/>
    <col collapsed="false" customWidth="true" hidden="false" outlineLevel="0" max="3" min="3" style="0" width="58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1"/>
  </cols>
  <sheetData>
    <row r="1" customFormat="false" ht="17.35" hidden="false" customHeight="false" outlineLevel="0" collapsed="false">
      <c r="A1" s="1" t="s">
        <v>228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229</v>
      </c>
      <c r="B2" s="2"/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A3" s="3" t="s">
        <v>230</v>
      </c>
      <c r="B3" s="3" t="s">
        <v>231</v>
      </c>
      <c r="C3" s="3" t="s">
        <v>232</v>
      </c>
      <c r="D3" s="3" t="s">
        <v>233</v>
      </c>
      <c r="E3" s="3" t="s">
        <v>4</v>
      </c>
      <c r="F3" s="3" t="s">
        <v>2</v>
      </c>
      <c r="G3" s="3" t="s">
        <v>234</v>
      </c>
      <c r="H3" s="3" t="s">
        <v>235</v>
      </c>
    </row>
    <row r="4" customFormat="false" ht="28.35" hidden="false" customHeight="false" outlineLevel="0" collapsed="false">
      <c r="A4" s="4" t="s">
        <v>236</v>
      </c>
      <c r="B4" s="5" t="s">
        <v>237</v>
      </c>
      <c r="C4" s="5" t="s">
        <v>238</v>
      </c>
      <c r="D4" s="5" t="s">
        <v>89</v>
      </c>
      <c r="E4" s="4" t="s">
        <v>239</v>
      </c>
      <c r="F4" s="4" t="n">
        <v>15</v>
      </c>
      <c r="G4" s="6" t="n">
        <v>46299</v>
      </c>
      <c r="H4" s="4" t="s">
        <v>240</v>
      </c>
    </row>
    <row r="5" customFormat="false" ht="28.35" hidden="false" customHeight="false" outlineLevel="0" collapsed="false">
      <c r="A5" s="4" t="s">
        <v>241</v>
      </c>
      <c r="B5" s="5" t="s">
        <v>242</v>
      </c>
      <c r="C5" s="5" t="s">
        <v>243</v>
      </c>
      <c r="D5" s="5" t="s">
        <v>89</v>
      </c>
      <c r="E5" s="4" t="s">
        <v>239</v>
      </c>
      <c r="F5" s="4" t="n">
        <v>14</v>
      </c>
      <c r="G5" s="6" t="n">
        <v>46300</v>
      </c>
      <c r="H5" s="4" t="s">
        <v>244</v>
      </c>
    </row>
    <row r="6" customFormat="false" ht="28.35" hidden="false" customHeight="false" outlineLevel="0" collapsed="false">
      <c r="A6" s="4" t="s">
        <v>245</v>
      </c>
      <c r="B6" s="5" t="s">
        <v>246</v>
      </c>
      <c r="C6" s="5" t="s">
        <v>247</v>
      </c>
      <c r="D6" s="5" t="s">
        <v>89</v>
      </c>
      <c r="E6" s="4" t="s">
        <v>239</v>
      </c>
      <c r="F6" s="4" t="n">
        <v>19</v>
      </c>
      <c r="G6" s="6" t="n">
        <v>46300</v>
      </c>
      <c r="H6" s="4" t="s">
        <v>248</v>
      </c>
    </row>
    <row r="7" customFormat="false" ht="28.35" hidden="false" customHeight="false" outlineLevel="0" collapsed="false">
      <c r="A7" s="4" t="s">
        <v>249</v>
      </c>
      <c r="B7" s="5" t="s">
        <v>250</v>
      </c>
      <c r="C7" s="5" t="s">
        <v>251</v>
      </c>
      <c r="D7" s="5" t="s">
        <v>89</v>
      </c>
      <c r="E7" s="4" t="s">
        <v>239</v>
      </c>
      <c r="F7" s="4" t="n">
        <v>15</v>
      </c>
      <c r="G7" s="6" t="n">
        <v>46300</v>
      </c>
      <c r="H7" s="4" t="s">
        <v>240</v>
      </c>
    </row>
    <row r="8" customFormat="false" ht="28.35" hidden="false" customHeight="false" outlineLevel="0" collapsed="false">
      <c r="A8" s="4" t="s">
        <v>252</v>
      </c>
      <c r="B8" s="5" t="s">
        <v>253</v>
      </c>
      <c r="C8" s="5" t="s">
        <v>254</v>
      </c>
      <c r="D8" s="5" t="s">
        <v>89</v>
      </c>
      <c r="E8" s="4" t="s">
        <v>239</v>
      </c>
      <c r="F8" s="4" t="n">
        <v>17</v>
      </c>
      <c r="G8" s="6" t="n">
        <v>46300</v>
      </c>
      <c r="H8" s="4" t="s">
        <v>244</v>
      </c>
    </row>
    <row r="9" customFormat="false" ht="28.35" hidden="false" customHeight="false" outlineLevel="0" collapsed="false">
      <c r="A9" s="4" t="s">
        <v>255</v>
      </c>
      <c r="B9" s="5" t="s">
        <v>256</v>
      </c>
      <c r="C9" s="5" t="s">
        <v>257</v>
      </c>
      <c r="D9" s="5" t="s">
        <v>89</v>
      </c>
      <c r="E9" s="4" t="s">
        <v>239</v>
      </c>
      <c r="F9" s="4" t="n">
        <v>11</v>
      </c>
      <c r="G9" s="6" t="n">
        <v>46300</v>
      </c>
      <c r="H9" s="4" t="s">
        <v>248</v>
      </c>
    </row>
    <row r="10" customFormat="false" ht="28.35" hidden="false" customHeight="false" outlineLevel="0" collapsed="false">
      <c r="A10" s="4" t="s">
        <v>258</v>
      </c>
      <c r="B10" s="5" t="s">
        <v>259</v>
      </c>
      <c r="C10" s="5" t="s">
        <v>260</v>
      </c>
      <c r="D10" s="5" t="s">
        <v>89</v>
      </c>
      <c r="E10" s="4" t="s">
        <v>239</v>
      </c>
      <c r="F10" s="4" t="n">
        <v>18</v>
      </c>
      <c r="G10" s="6" t="n">
        <v>46300</v>
      </c>
      <c r="H10" s="4" t="s">
        <v>240</v>
      </c>
    </row>
    <row r="11" customFormat="false" ht="28.35" hidden="false" customHeight="false" outlineLevel="0" collapsed="false">
      <c r="A11" s="4" t="s">
        <v>261</v>
      </c>
      <c r="B11" s="5" t="s">
        <v>262</v>
      </c>
      <c r="C11" s="5" t="s">
        <v>263</v>
      </c>
      <c r="D11" s="5" t="s">
        <v>89</v>
      </c>
      <c r="E11" s="4" t="s">
        <v>239</v>
      </c>
      <c r="F11" s="4" t="n">
        <v>13</v>
      </c>
      <c r="G11" s="6" t="n">
        <v>46300</v>
      </c>
      <c r="H11" s="4" t="s">
        <v>244</v>
      </c>
    </row>
    <row r="12" customFormat="false" ht="28.35" hidden="false" customHeight="false" outlineLevel="0" collapsed="false">
      <c r="A12" s="4" t="s">
        <v>264</v>
      </c>
      <c r="B12" s="5" t="s">
        <v>265</v>
      </c>
      <c r="C12" s="5" t="s">
        <v>266</v>
      </c>
      <c r="D12" s="5" t="s">
        <v>89</v>
      </c>
      <c r="E12" s="4" t="s">
        <v>239</v>
      </c>
      <c r="F12" s="4" t="n">
        <v>19</v>
      </c>
      <c r="G12" s="6" t="n">
        <v>46300</v>
      </c>
      <c r="H12" s="4" t="s">
        <v>244</v>
      </c>
    </row>
    <row r="13" customFormat="false" ht="15" hidden="false" customHeight="false" outlineLevel="0" collapsed="false">
      <c r="A13" s="4" t="s">
        <v>267</v>
      </c>
      <c r="B13" s="5" t="s">
        <v>268</v>
      </c>
      <c r="C13" s="5" t="s">
        <v>269</v>
      </c>
      <c r="D13" s="5" t="s">
        <v>89</v>
      </c>
      <c r="E13" s="4" t="s">
        <v>239</v>
      </c>
      <c r="F13" s="4" t="n">
        <v>22</v>
      </c>
      <c r="G13" s="6" t="n">
        <v>46300</v>
      </c>
      <c r="H13" s="4" t="s">
        <v>240</v>
      </c>
    </row>
    <row r="14" customFormat="false" ht="41.75" hidden="false" customHeight="false" outlineLevel="0" collapsed="false">
      <c r="A14" s="4" t="s">
        <v>270</v>
      </c>
      <c r="B14" s="5" t="s">
        <v>271</v>
      </c>
      <c r="C14" s="5" t="s">
        <v>272</v>
      </c>
      <c r="D14" s="5" t="s">
        <v>89</v>
      </c>
      <c r="E14" s="4" t="s">
        <v>239</v>
      </c>
      <c r="F14" s="4" t="n">
        <v>17</v>
      </c>
      <c r="G14" s="6" t="n">
        <v>46300</v>
      </c>
      <c r="H14" s="4" t="s">
        <v>248</v>
      </c>
    </row>
    <row r="15" customFormat="false" ht="28.35" hidden="false" customHeight="false" outlineLevel="0" collapsed="false">
      <c r="A15" s="4" t="s">
        <v>273</v>
      </c>
      <c r="B15" s="5" t="s">
        <v>274</v>
      </c>
      <c r="C15" s="5" t="s">
        <v>275</v>
      </c>
      <c r="D15" s="5" t="s">
        <v>89</v>
      </c>
      <c r="E15" s="4" t="s">
        <v>239</v>
      </c>
      <c r="F15" s="4" t="n">
        <v>11</v>
      </c>
      <c r="G15" s="6" t="n">
        <v>46302</v>
      </c>
      <c r="H15" s="4" t="s">
        <v>248</v>
      </c>
    </row>
    <row r="16" customFormat="false" ht="28.35" hidden="false" customHeight="false" outlineLevel="0" collapsed="false">
      <c r="A16" s="4" t="s">
        <v>276</v>
      </c>
      <c r="B16" s="5" t="s">
        <v>277</v>
      </c>
      <c r="C16" s="5" t="s">
        <v>278</v>
      </c>
      <c r="D16" s="5" t="s">
        <v>89</v>
      </c>
      <c r="E16" s="4" t="s">
        <v>239</v>
      </c>
      <c r="F16" s="4" t="n">
        <v>20</v>
      </c>
      <c r="G16" s="6" t="n">
        <v>46302</v>
      </c>
      <c r="H16" s="4" t="s">
        <v>244</v>
      </c>
    </row>
    <row r="17" customFormat="false" ht="41.75" hidden="false" customHeight="false" outlineLevel="0" collapsed="false">
      <c r="A17" s="4" t="s">
        <v>279</v>
      </c>
      <c r="B17" s="5" t="s">
        <v>280</v>
      </c>
      <c r="C17" s="5" t="s">
        <v>281</v>
      </c>
      <c r="D17" s="5" t="s">
        <v>89</v>
      </c>
      <c r="E17" s="4" t="s">
        <v>282</v>
      </c>
      <c r="F17" s="4" t="n">
        <v>21</v>
      </c>
      <c r="G17" s="6" t="n">
        <v>46302</v>
      </c>
      <c r="H17" s="4" t="s">
        <v>240</v>
      </c>
    </row>
    <row r="18" customFormat="false" ht="55.2" hidden="false" customHeight="false" outlineLevel="0" collapsed="false">
      <c r="A18" s="4" t="s">
        <v>283</v>
      </c>
      <c r="B18" s="5" t="s">
        <v>284</v>
      </c>
      <c r="C18" s="5" t="s">
        <v>285</v>
      </c>
      <c r="D18" s="5" t="s">
        <v>89</v>
      </c>
      <c r="E18" s="4" t="s">
        <v>239</v>
      </c>
      <c r="F18" s="4" t="n">
        <v>1</v>
      </c>
      <c r="G18" s="6" t="n">
        <v>46308</v>
      </c>
      <c r="H18" s="4" t="s">
        <v>240</v>
      </c>
    </row>
    <row r="19" customFormat="false" ht="55.2" hidden="false" customHeight="false" outlineLevel="0" collapsed="false">
      <c r="A19" s="4" t="s">
        <v>286</v>
      </c>
      <c r="B19" s="5" t="s">
        <v>287</v>
      </c>
      <c r="C19" s="5" t="s">
        <v>288</v>
      </c>
      <c r="D19" s="5" t="s">
        <v>89</v>
      </c>
      <c r="E19" s="4" t="s">
        <v>239</v>
      </c>
      <c r="F19" s="4" t="n">
        <v>10</v>
      </c>
      <c r="G19" s="6" t="n">
        <v>46310</v>
      </c>
      <c r="H19" s="4" t="s">
        <v>248</v>
      </c>
    </row>
    <row r="20" customFormat="false" ht="41.75" hidden="false" customHeight="false" outlineLevel="0" collapsed="false">
      <c r="A20" s="4" t="s">
        <v>289</v>
      </c>
      <c r="B20" s="5" t="s">
        <v>290</v>
      </c>
      <c r="C20" s="5" t="s">
        <v>291</v>
      </c>
      <c r="D20" s="5" t="s">
        <v>89</v>
      </c>
      <c r="E20" s="4" t="s">
        <v>239</v>
      </c>
      <c r="F20" s="4" t="n">
        <v>1</v>
      </c>
      <c r="G20" s="6" t="n">
        <v>46310</v>
      </c>
      <c r="H20" s="4" t="s">
        <v>240</v>
      </c>
    </row>
    <row r="21" customFormat="false" ht="28.35" hidden="false" customHeight="false" outlineLevel="0" collapsed="false">
      <c r="A21" s="4" t="s">
        <v>292</v>
      </c>
      <c r="B21" s="5" t="s">
        <v>293</v>
      </c>
      <c r="C21" s="5" t="s">
        <v>294</v>
      </c>
      <c r="D21" s="5" t="s">
        <v>89</v>
      </c>
      <c r="E21" s="4" t="s">
        <v>239</v>
      </c>
      <c r="F21" s="4" t="n">
        <v>23</v>
      </c>
      <c r="G21" s="6" t="n">
        <v>46310</v>
      </c>
      <c r="H21" s="4" t="s">
        <v>240</v>
      </c>
    </row>
    <row r="23" customFormat="false" ht="15" hidden="false" customHeight="false" outlineLevel="0" collapsed="false">
      <c r="D23" s="8" t="s">
        <v>295</v>
      </c>
      <c r="E23" s="8" t="str">
        <f aca="false">COUNTIF(E4:E21,"Corregido")&amp;" de "&amp;COUNTA(A4:A21)</f>
        <v>17 de 18</v>
      </c>
    </row>
  </sheetData>
  <mergeCells count="2">
    <mergeCell ref="A1:H1"/>
    <mergeCell ref="A2:H2"/>
  </mergeCells>
  <conditionalFormatting sqref="E4:E21">
    <cfRule type="cellIs" priority="2" operator="equal" aboveAverage="0" equalAverage="0" bottom="0" percent="0" rank="0" text="" dxfId="0">
      <formula>"Terminado"</formula>
    </cfRule>
    <cfRule type="cellIs" priority="3" operator="equal" aboveAverage="0" equalAverage="0" bottom="0" percent="0" rank="0" text="" dxfId="1">
      <formula>"En desarrollo"</formula>
    </cfRule>
    <cfRule type="cellIs" priority="4" operator="equal" aboveAverage="0" equalAverage="0" bottom="0" percent="0" rank="0" text="" dxfId="2">
      <formula>"Planeado"</formula>
    </cfRule>
    <cfRule type="cellIs" priority="5" operator="equal" aboveAverage="0" equalAverage="0" bottom="0" percent="0" rank="0" text="" dxfId="0">
      <formula>"Corregido"</formula>
    </cfRule>
    <cfRule type="cellIs" priority="6" operator="equal" aboveAverage="0" equalAverage="0" bottom="0" percent="0" rank="0" text="" dxfId="0">
      <formula>"Aprobada"</formula>
    </cfRule>
    <cfRule type="cellIs" priority="7" operator="equal" aboveAverage="0" equalAverage="0" bottom="0" percent="0" rank="0" text="" dxfId="1">
      <formula>"Por verificar"</formula>
    </cfRule>
    <cfRule type="cellIs" priority="8" operator="equal" aboveAverage="0" equalAverage="0" bottom="0" percent="0" rank="0" text="" dxfId="1">
      <formula>"Pendiente"</formula>
    </cfRule>
    <cfRule type="cellIs" priority="9" operator="equal" aboveAverage="0" equalAverage="0" bottom="0" percent="0" rank="0" text="" dxfId="3">
      <formula>"Abierto"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34"/>
    <col collapsed="false" customWidth="true" hidden="false" outlineLevel="0" max="4" min="4" style="0" width="42"/>
    <col collapsed="false" customWidth="true" hidden="false" outlineLevel="0" max="5" min="5" style="0" width="40"/>
    <col collapsed="false" customWidth="true" hidden="false" outlineLevel="0" max="6" min="6" style="0" width="34"/>
    <col collapsed="false" customWidth="true" hidden="false" outlineLevel="0" max="7" min="7" style="0" width="13"/>
  </cols>
  <sheetData>
    <row r="1" customFormat="false" ht="17.35" hidden="false" customHeight="false" outlineLevel="0" collapsed="false">
      <c r="A1" s="1" t="s">
        <v>296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297</v>
      </c>
      <c r="B2" s="2"/>
      <c r="C2" s="2"/>
      <c r="D2" s="2"/>
      <c r="E2" s="2"/>
      <c r="F2" s="2"/>
      <c r="G2" s="2"/>
    </row>
    <row r="3" customFormat="false" ht="30" hidden="false" customHeight="true" outlineLevel="0" collapsed="false">
      <c r="A3" s="3" t="s">
        <v>298</v>
      </c>
      <c r="B3" s="3" t="s">
        <v>2</v>
      </c>
      <c r="C3" s="3" t="s">
        <v>299</v>
      </c>
      <c r="D3" s="3" t="s">
        <v>300</v>
      </c>
      <c r="E3" s="3" t="s">
        <v>301</v>
      </c>
      <c r="F3" s="3" t="s">
        <v>302</v>
      </c>
      <c r="G3" s="3" t="s">
        <v>4</v>
      </c>
    </row>
    <row r="4" customFormat="false" ht="28.35" hidden="false" customHeight="false" outlineLevel="0" collapsed="false">
      <c r="A4" s="4" t="s">
        <v>303</v>
      </c>
      <c r="B4" s="4" t="n">
        <v>2</v>
      </c>
      <c r="C4" s="5" t="s">
        <v>304</v>
      </c>
      <c r="D4" s="5" t="s">
        <v>305</v>
      </c>
      <c r="E4" s="5" t="s">
        <v>306</v>
      </c>
      <c r="F4" s="5" t="s">
        <v>307</v>
      </c>
      <c r="G4" s="4" t="s">
        <v>308</v>
      </c>
    </row>
    <row r="5" customFormat="false" ht="28.35" hidden="false" customHeight="false" outlineLevel="0" collapsed="false">
      <c r="A5" s="4" t="s">
        <v>309</v>
      </c>
      <c r="B5" s="4" t="n">
        <v>4</v>
      </c>
      <c r="C5" s="5" t="s">
        <v>310</v>
      </c>
      <c r="D5" s="5" t="s">
        <v>311</v>
      </c>
      <c r="E5" s="5" t="s">
        <v>312</v>
      </c>
      <c r="F5" s="5" t="s">
        <v>313</v>
      </c>
      <c r="G5" s="4" t="s">
        <v>308</v>
      </c>
    </row>
    <row r="6" customFormat="false" ht="28.35" hidden="false" customHeight="false" outlineLevel="0" collapsed="false">
      <c r="A6" s="4" t="s">
        <v>314</v>
      </c>
      <c r="B6" s="4" t="n">
        <v>3</v>
      </c>
      <c r="C6" s="5" t="s">
        <v>315</v>
      </c>
      <c r="D6" s="5" t="s">
        <v>316</v>
      </c>
      <c r="E6" s="5" t="s">
        <v>317</v>
      </c>
      <c r="F6" s="5" t="s">
        <v>313</v>
      </c>
      <c r="G6" s="4" t="s">
        <v>308</v>
      </c>
    </row>
    <row r="7" customFormat="false" ht="28.35" hidden="false" customHeight="false" outlineLevel="0" collapsed="false">
      <c r="A7" s="4" t="s">
        <v>318</v>
      </c>
      <c r="B7" s="4" t="n">
        <v>20</v>
      </c>
      <c r="C7" s="5" t="s">
        <v>319</v>
      </c>
      <c r="D7" s="5" t="s">
        <v>320</v>
      </c>
      <c r="E7" s="5" t="s">
        <v>321</v>
      </c>
      <c r="F7" s="5" t="s">
        <v>313</v>
      </c>
      <c r="G7" s="4" t="s">
        <v>308</v>
      </c>
    </row>
    <row r="8" customFormat="false" ht="28.35" hidden="false" customHeight="false" outlineLevel="0" collapsed="false">
      <c r="A8" s="4" t="s">
        <v>322</v>
      </c>
      <c r="B8" s="4" t="n">
        <v>19</v>
      </c>
      <c r="C8" s="5" t="s">
        <v>323</v>
      </c>
      <c r="D8" s="5" t="s">
        <v>324</v>
      </c>
      <c r="E8" s="5" t="s">
        <v>325</v>
      </c>
      <c r="F8" s="5" t="s">
        <v>326</v>
      </c>
      <c r="G8" s="4" t="s">
        <v>308</v>
      </c>
    </row>
    <row r="9" customFormat="false" ht="28.35" hidden="false" customHeight="false" outlineLevel="0" collapsed="false">
      <c r="A9" s="4" t="s">
        <v>327</v>
      </c>
      <c r="B9" s="4" t="n">
        <v>17</v>
      </c>
      <c r="C9" s="5" t="s">
        <v>328</v>
      </c>
      <c r="D9" s="5" t="s">
        <v>329</v>
      </c>
      <c r="E9" s="5" t="s">
        <v>330</v>
      </c>
      <c r="F9" s="5" t="s">
        <v>331</v>
      </c>
      <c r="G9" s="4" t="s">
        <v>308</v>
      </c>
    </row>
    <row r="10" customFormat="false" ht="28.35" hidden="false" customHeight="false" outlineLevel="0" collapsed="false">
      <c r="A10" s="4" t="s">
        <v>332</v>
      </c>
      <c r="B10" s="4" t="n">
        <v>13</v>
      </c>
      <c r="C10" s="5" t="s">
        <v>333</v>
      </c>
      <c r="D10" s="5" t="s">
        <v>334</v>
      </c>
      <c r="E10" s="5" t="s">
        <v>335</v>
      </c>
      <c r="F10" s="5" t="s">
        <v>336</v>
      </c>
      <c r="G10" s="4" t="s">
        <v>308</v>
      </c>
    </row>
    <row r="11" customFormat="false" ht="28.35" hidden="false" customHeight="false" outlineLevel="0" collapsed="false">
      <c r="A11" s="4" t="s">
        <v>337</v>
      </c>
      <c r="B11" s="4" t="n">
        <v>16</v>
      </c>
      <c r="C11" s="5" t="s">
        <v>338</v>
      </c>
      <c r="D11" s="5" t="s">
        <v>339</v>
      </c>
      <c r="E11" s="5" t="s">
        <v>340</v>
      </c>
      <c r="F11" s="5" t="s">
        <v>341</v>
      </c>
      <c r="G11" s="4" t="s">
        <v>308</v>
      </c>
    </row>
    <row r="12" customFormat="false" ht="28.35" hidden="false" customHeight="false" outlineLevel="0" collapsed="false">
      <c r="A12" s="4" t="s">
        <v>342</v>
      </c>
      <c r="B12" s="4" t="n">
        <v>21</v>
      </c>
      <c r="C12" s="5" t="s">
        <v>343</v>
      </c>
      <c r="D12" s="5" t="s">
        <v>344</v>
      </c>
      <c r="E12" s="5" t="s">
        <v>345</v>
      </c>
      <c r="F12" s="5"/>
      <c r="G12" s="4" t="s">
        <v>346</v>
      </c>
    </row>
    <row r="13" customFormat="false" ht="28.35" hidden="false" customHeight="false" outlineLevel="0" collapsed="false">
      <c r="A13" s="4" t="s">
        <v>347</v>
      </c>
      <c r="B13" s="4" t="n">
        <v>21</v>
      </c>
      <c r="C13" s="5" t="s">
        <v>348</v>
      </c>
      <c r="D13" s="5" t="s">
        <v>349</v>
      </c>
      <c r="E13" s="5" t="s">
        <v>350</v>
      </c>
      <c r="F13" s="5"/>
      <c r="G13" s="4" t="s">
        <v>346</v>
      </c>
    </row>
    <row r="14" customFormat="false" ht="28.35" hidden="false" customHeight="false" outlineLevel="0" collapsed="false">
      <c r="A14" s="4" t="s">
        <v>351</v>
      </c>
      <c r="B14" s="4" t="n">
        <v>21</v>
      </c>
      <c r="C14" s="5" t="s">
        <v>352</v>
      </c>
      <c r="D14" s="5" t="s">
        <v>353</v>
      </c>
      <c r="E14" s="5" t="s">
        <v>354</v>
      </c>
      <c r="F14" s="5" t="s">
        <v>355</v>
      </c>
      <c r="G14" s="4" t="s">
        <v>346</v>
      </c>
    </row>
    <row r="15" customFormat="false" ht="28.35" hidden="false" customHeight="false" outlineLevel="0" collapsed="false">
      <c r="A15" s="4" t="s">
        <v>356</v>
      </c>
      <c r="B15" s="4" t="n">
        <v>11</v>
      </c>
      <c r="C15" s="5" t="s">
        <v>357</v>
      </c>
      <c r="D15" s="5" t="s">
        <v>358</v>
      </c>
      <c r="E15" s="5" t="s">
        <v>359</v>
      </c>
      <c r="F15" s="5" t="s">
        <v>360</v>
      </c>
      <c r="G15" s="4" t="s">
        <v>308</v>
      </c>
    </row>
    <row r="16" customFormat="false" ht="28.35" hidden="false" customHeight="false" outlineLevel="0" collapsed="false">
      <c r="A16" s="4" t="s">
        <v>361</v>
      </c>
      <c r="B16" s="4" t="n">
        <v>23</v>
      </c>
      <c r="C16" s="5" t="s">
        <v>362</v>
      </c>
      <c r="D16" s="5" t="s">
        <v>363</v>
      </c>
      <c r="E16" s="5" t="s">
        <v>364</v>
      </c>
      <c r="F16" s="5"/>
      <c r="G16" s="4" t="s">
        <v>346</v>
      </c>
    </row>
    <row r="17" customFormat="false" ht="28.35" hidden="false" customHeight="false" outlineLevel="0" collapsed="false">
      <c r="A17" s="4" t="s">
        <v>365</v>
      </c>
      <c r="B17" s="4" t="n">
        <v>24</v>
      </c>
      <c r="C17" s="5" t="s">
        <v>366</v>
      </c>
      <c r="D17" s="5" t="s">
        <v>367</v>
      </c>
      <c r="E17" s="5" t="s">
        <v>368</v>
      </c>
      <c r="F17" s="5" t="s">
        <v>369</v>
      </c>
      <c r="G17" s="4" t="s">
        <v>346</v>
      </c>
    </row>
    <row r="18" customFormat="false" ht="28.35" hidden="false" customHeight="false" outlineLevel="0" collapsed="false">
      <c r="A18" s="4" t="s">
        <v>370</v>
      </c>
      <c r="B18" s="4" t="n">
        <v>1</v>
      </c>
      <c r="C18" s="5" t="s">
        <v>371</v>
      </c>
      <c r="D18" s="5" t="s">
        <v>372</v>
      </c>
      <c r="E18" s="5" t="s">
        <v>373</v>
      </c>
      <c r="F18" s="5" t="s">
        <v>374</v>
      </c>
      <c r="G18" s="4" t="s">
        <v>308</v>
      </c>
    </row>
    <row r="19" customFormat="false" ht="41.75" hidden="false" customHeight="false" outlineLevel="0" collapsed="false">
      <c r="A19" s="4" t="s">
        <v>375</v>
      </c>
      <c r="B19" s="4" t="n">
        <v>27</v>
      </c>
      <c r="C19" s="5" t="s">
        <v>376</v>
      </c>
      <c r="D19" s="5" t="s">
        <v>377</v>
      </c>
      <c r="E19" s="5" t="s">
        <v>378</v>
      </c>
      <c r="F19" s="5"/>
      <c r="G19" s="4" t="s">
        <v>346</v>
      </c>
    </row>
    <row r="20" customFormat="false" ht="28.35" hidden="false" customHeight="false" outlineLevel="0" collapsed="false">
      <c r="A20" s="4" t="s">
        <v>379</v>
      </c>
      <c r="B20" s="4" t="n">
        <v>27</v>
      </c>
      <c r="C20" s="5" t="s">
        <v>380</v>
      </c>
      <c r="D20" s="5" t="s">
        <v>381</v>
      </c>
      <c r="E20" s="5" t="s">
        <v>382</v>
      </c>
      <c r="F20" s="5"/>
      <c r="G20" s="4" t="s">
        <v>346</v>
      </c>
    </row>
    <row r="22" customFormat="false" ht="15" hidden="false" customHeight="false" outlineLevel="0" collapsed="false">
      <c r="F22" s="8" t="s">
        <v>383</v>
      </c>
      <c r="G22" s="8" t="str">
        <f aca="false">COUNTIF(G4:G20,"Aprobada")&amp;" de "&amp;COUNTA(A4:A20)</f>
        <v>10 de 17</v>
      </c>
    </row>
  </sheetData>
  <mergeCells count="2">
    <mergeCell ref="A1:G1"/>
    <mergeCell ref="A2:G2"/>
  </mergeCells>
  <conditionalFormatting sqref="G4:G20">
    <cfRule type="cellIs" priority="2" operator="equal" aboveAverage="0" equalAverage="0" bottom="0" percent="0" rank="0" text="" dxfId="0">
      <formula>"Terminado"</formula>
    </cfRule>
    <cfRule type="cellIs" priority="3" operator="equal" aboveAverage="0" equalAverage="0" bottom="0" percent="0" rank="0" text="" dxfId="1">
      <formula>"En desarrollo"</formula>
    </cfRule>
    <cfRule type="cellIs" priority="4" operator="equal" aboveAverage="0" equalAverage="0" bottom="0" percent="0" rank="0" text="" dxfId="2">
      <formula>"Planeado"</formula>
    </cfRule>
    <cfRule type="cellIs" priority="5" operator="equal" aboveAverage="0" equalAverage="0" bottom="0" percent="0" rank="0" text="" dxfId="0">
      <formula>"Corregido"</formula>
    </cfRule>
    <cfRule type="cellIs" priority="6" operator="equal" aboveAverage="0" equalAverage="0" bottom="0" percent="0" rank="0" text="" dxfId="0">
      <formula>"Aprobada"</formula>
    </cfRule>
    <cfRule type="cellIs" priority="7" operator="equal" aboveAverage="0" equalAverage="0" bottom="0" percent="0" rank="0" text="" dxfId="1">
      <formula>"Por verificar"</formula>
    </cfRule>
    <cfRule type="cellIs" priority="8" operator="equal" aboveAverage="0" equalAverage="0" bottom="0" percent="0" rank="0" text="" dxfId="1">
      <formula>"Pendiente"</formula>
    </cfRule>
    <cfRule type="cellIs" priority="9" operator="equal" aboveAverage="0" equalAverage="0" bottom="0" percent="0" rank="0" text="" dxfId="3">
      <formula>"Abierto"</formula>
    </cfRule>
    <cfRule type="cellIs" priority="10" operator="equal" aboveAverage="0" equalAverage="0" bottom="0" percent="0" rank="0" text="" dxfId="3">
      <formula>"Fallida"</formula>
    </cfRule>
  </conditionalFormatting>
  <dataValidations count="1">
    <dataValidation allowBlank="true" errorStyle="stop" operator="between" showDropDown="false" showErrorMessage="false" showInputMessage="false" sqref="G4:G20" type="list">
      <formula1>"Aprobada,Fallida,Pendiente"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58"/>
    <col collapsed="false" customWidth="true" hidden="false" outlineLevel="0" max="3" min="3" style="0" width="13"/>
    <col collapsed="false" customWidth="true" hidden="false" outlineLevel="0" max="4" min="4" style="0" width="22"/>
    <col collapsed="false" customWidth="true" hidden="false" outlineLevel="0" max="5" min="5" style="0" width="15"/>
  </cols>
  <sheetData>
    <row r="1" customFormat="false" ht="17.35" hidden="false" customHeight="false" outlineLevel="0" collapsed="false">
      <c r="A1" s="1" t="s">
        <v>384</v>
      </c>
      <c r="B1" s="1"/>
      <c r="C1" s="1"/>
      <c r="D1" s="1"/>
      <c r="E1" s="1"/>
    </row>
    <row r="2" customFormat="false" ht="15" hidden="false" customHeight="false" outlineLevel="0" collapsed="false">
      <c r="A2" s="2" t="s">
        <v>385</v>
      </c>
      <c r="B2" s="2"/>
      <c r="C2" s="2"/>
      <c r="D2" s="2"/>
      <c r="E2" s="2"/>
    </row>
    <row r="3" customFormat="false" ht="30" hidden="false" customHeight="true" outlineLevel="0" collapsed="false">
      <c r="A3" s="3" t="s">
        <v>386</v>
      </c>
      <c r="B3" s="3" t="s">
        <v>387</v>
      </c>
      <c r="C3" s="3" t="s">
        <v>2</v>
      </c>
      <c r="D3" s="3" t="s">
        <v>388</v>
      </c>
      <c r="E3" s="3" t="s">
        <v>4</v>
      </c>
    </row>
    <row r="4" customFormat="false" ht="15" hidden="false" customHeight="false" outlineLevel="0" collapsed="false">
      <c r="A4" s="4" t="s">
        <v>389</v>
      </c>
      <c r="B4" s="5" t="s">
        <v>390</v>
      </c>
      <c r="C4" s="4" t="s">
        <v>391</v>
      </c>
      <c r="D4" s="5" t="s">
        <v>141</v>
      </c>
      <c r="E4" s="4" t="str">
        <f aca="false">IFERROR(INDEX('Feature Log'!$C$4:$C$30,MATCH(VALUE(LEFT(C4,FIND(",",C4&amp;",")-1)),'Feature Log'!$A$4:$A$30,0)),"")</f>
        <v>Terminado</v>
      </c>
    </row>
    <row r="5" customFormat="false" ht="15" hidden="false" customHeight="false" outlineLevel="0" collapsed="false">
      <c r="A5" s="4" t="s">
        <v>392</v>
      </c>
      <c r="B5" s="5" t="s">
        <v>393</v>
      </c>
      <c r="C5" s="4" t="s">
        <v>394</v>
      </c>
      <c r="D5" s="5" t="s">
        <v>93</v>
      </c>
      <c r="E5" s="4" t="str">
        <f aca="false">IFERROR(INDEX('Feature Log'!$C$4:$C$30,MATCH(VALUE(LEFT(C5,FIND(",",C5&amp;",")-1)),'Feature Log'!$A$4:$A$30,0)),"")</f>
        <v>Terminado</v>
      </c>
    </row>
    <row r="6" customFormat="false" ht="15" hidden="false" customHeight="false" outlineLevel="0" collapsed="false">
      <c r="A6" s="4" t="s">
        <v>392</v>
      </c>
      <c r="B6" s="5" t="s">
        <v>395</v>
      </c>
      <c r="C6" s="4" t="s">
        <v>396</v>
      </c>
      <c r="D6" s="5" t="s">
        <v>119</v>
      </c>
      <c r="E6" s="4" t="str">
        <f aca="false">IFERROR(INDEX('Feature Log'!$C$4:$C$30,MATCH(VALUE(LEFT(C6,FIND(",",C6&amp;",")-1)),'Feature Log'!$A$4:$A$30,0)),"")</f>
        <v>Terminado</v>
      </c>
    </row>
    <row r="7" customFormat="false" ht="15" hidden="false" customHeight="false" outlineLevel="0" collapsed="false">
      <c r="A7" s="4" t="s">
        <v>392</v>
      </c>
      <c r="B7" s="5" t="s">
        <v>397</v>
      </c>
      <c r="C7" s="4" t="s">
        <v>398</v>
      </c>
      <c r="D7" s="5" t="s">
        <v>101</v>
      </c>
      <c r="E7" s="4" t="str">
        <f aca="false">IFERROR(INDEX('Feature Log'!$C$4:$C$30,MATCH(VALUE(LEFT(C7,FIND(",",C7&amp;",")-1)),'Feature Log'!$A$4:$A$30,0)),"")</f>
        <v>Terminado</v>
      </c>
    </row>
    <row r="8" customFormat="false" ht="15" hidden="false" customHeight="false" outlineLevel="0" collapsed="false">
      <c r="A8" s="4" t="s">
        <v>399</v>
      </c>
      <c r="B8" s="5" t="s">
        <v>400</v>
      </c>
      <c r="C8" s="4" t="s">
        <v>398</v>
      </c>
      <c r="D8" s="5" t="s">
        <v>401</v>
      </c>
      <c r="E8" s="4" t="str">
        <f aca="false">IFERROR(INDEX('Feature Log'!$C$4:$C$30,MATCH(VALUE(LEFT(C8,FIND(",",C8&amp;",")-1)),'Feature Log'!$A$4:$A$30,0)),"")</f>
        <v>Terminado</v>
      </c>
    </row>
    <row r="9" customFormat="false" ht="15" hidden="false" customHeight="false" outlineLevel="0" collapsed="false">
      <c r="A9" s="4" t="s">
        <v>402</v>
      </c>
      <c r="B9" s="5" t="s">
        <v>338</v>
      </c>
      <c r="C9" s="4" t="s">
        <v>403</v>
      </c>
      <c r="D9" s="5" t="s">
        <v>137</v>
      </c>
      <c r="E9" s="4" t="str">
        <f aca="false">IFERROR(INDEX('Feature Log'!$C$4:$C$30,MATCH(VALUE(LEFT(C9,FIND(",",C9&amp;",")-1)),'Feature Log'!$A$4:$A$30,0)),"")</f>
        <v>Terminado</v>
      </c>
    </row>
    <row r="10" customFormat="false" ht="15" hidden="false" customHeight="false" outlineLevel="0" collapsed="false">
      <c r="A10" s="4" t="s">
        <v>404</v>
      </c>
      <c r="B10" s="5" t="s">
        <v>405</v>
      </c>
      <c r="C10" s="4" t="s">
        <v>406</v>
      </c>
      <c r="D10" s="5" t="s">
        <v>407</v>
      </c>
      <c r="E10" s="4" t="str">
        <f aca="false">IFERROR(INDEX('Feature Log'!$C$4:$C$30,MATCH(VALUE(LEFT(C10,FIND(",",C10&amp;",")-1)),'Feature Log'!$A$4:$A$30,0)),"")</f>
        <v>Terminado</v>
      </c>
    </row>
    <row r="11" customFormat="false" ht="15" hidden="false" customHeight="false" outlineLevel="0" collapsed="false">
      <c r="A11" s="4" t="s">
        <v>408</v>
      </c>
      <c r="B11" s="5" t="s">
        <v>409</v>
      </c>
      <c r="C11" s="4" t="s">
        <v>410</v>
      </c>
      <c r="D11" s="5" t="s">
        <v>411</v>
      </c>
      <c r="E11" s="4" t="str">
        <f aca="false">IFERROR(INDEX('Feature Log'!$C$4:$C$30,MATCH(VALUE(LEFT(C11,FIND(",",C11&amp;",")-1)),'Feature Log'!$A$4:$A$30,0)),"")</f>
        <v>Terminado</v>
      </c>
    </row>
    <row r="12" customFormat="false" ht="15" hidden="false" customHeight="false" outlineLevel="0" collapsed="false">
      <c r="A12" s="4" t="s">
        <v>412</v>
      </c>
      <c r="B12" s="5" t="s">
        <v>413</v>
      </c>
      <c r="C12" s="4" t="s">
        <v>414</v>
      </c>
      <c r="D12" s="5" t="s">
        <v>127</v>
      </c>
      <c r="E12" s="4" t="str">
        <f aca="false">IFERROR(INDEX('Feature Log'!$C$4:$C$30,MATCH(VALUE(LEFT(C12,FIND(",",C12&amp;",")-1)),'Feature Log'!$A$4:$A$30,0)),"")</f>
        <v>Terminado</v>
      </c>
    </row>
    <row r="13" customFormat="false" ht="15" hidden="false" customHeight="false" outlineLevel="0" collapsed="false">
      <c r="A13" s="4" t="s">
        <v>415</v>
      </c>
      <c r="B13" s="5" t="s">
        <v>416</v>
      </c>
      <c r="C13" s="4" t="s">
        <v>417</v>
      </c>
      <c r="D13" s="5" t="s">
        <v>418</v>
      </c>
      <c r="E13" s="4" t="str">
        <f aca="false">IFERROR(INDEX('Feature Log'!$C$4:$C$30,MATCH(VALUE(LEFT(C13,FIND(",",C13&amp;",")-1)),'Feature Log'!$A$4:$A$30,0)),"")</f>
        <v>Terminado</v>
      </c>
    </row>
    <row r="14" customFormat="false" ht="15" hidden="false" customHeight="false" outlineLevel="0" collapsed="false">
      <c r="A14" s="4" t="s">
        <v>419</v>
      </c>
      <c r="B14" s="5" t="s">
        <v>420</v>
      </c>
      <c r="C14" s="4" t="s">
        <v>421</v>
      </c>
      <c r="D14" s="5" t="s">
        <v>422</v>
      </c>
      <c r="E14" s="4" t="str">
        <f aca="false">IFERROR(INDEX('Feature Log'!$C$4:$C$30,MATCH(VALUE(LEFT(C14,FIND(",",C14&amp;",")-1)),'Feature Log'!$A$4:$A$30,0)),"")</f>
        <v>Terminado</v>
      </c>
    </row>
    <row r="15" customFormat="false" ht="15" hidden="false" customHeight="false" outlineLevel="0" collapsed="false">
      <c r="A15" s="4" t="s">
        <v>423</v>
      </c>
      <c r="B15" s="5" t="s">
        <v>424</v>
      </c>
      <c r="C15" s="4" t="s">
        <v>425</v>
      </c>
      <c r="D15" s="5" t="s">
        <v>135</v>
      </c>
      <c r="E15" s="4" t="str">
        <f aca="false">IFERROR(INDEX('Feature Log'!$C$4:$C$30,MATCH(VALUE(LEFT(C15,FIND(",",C15&amp;",")-1)),'Feature Log'!$A$4:$A$30,0)),"")</f>
        <v>Terminado</v>
      </c>
    </row>
    <row r="16" customFormat="false" ht="15" hidden="false" customHeight="false" outlineLevel="0" collapsed="false">
      <c r="A16" s="4" t="s">
        <v>426</v>
      </c>
      <c r="B16" s="5" t="s">
        <v>427</v>
      </c>
      <c r="C16" s="4" t="s">
        <v>414</v>
      </c>
      <c r="D16" s="5" t="s">
        <v>428</v>
      </c>
      <c r="E16" s="4" t="str">
        <f aca="false">IFERROR(INDEX('Feature Log'!$C$4:$C$30,MATCH(VALUE(LEFT(C16,FIND(",",C16&amp;",")-1)),'Feature Log'!$A$4:$A$30,0)),"")</f>
        <v>Terminado</v>
      </c>
    </row>
    <row r="17" customFormat="false" ht="15" hidden="false" customHeight="false" outlineLevel="0" collapsed="false">
      <c r="A17" s="4" t="s">
        <v>429</v>
      </c>
      <c r="B17" s="5" t="s">
        <v>430</v>
      </c>
      <c r="C17" s="4" t="s">
        <v>431</v>
      </c>
      <c r="D17" s="5" t="s">
        <v>432</v>
      </c>
      <c r="E17" s="4" t="str">
        <f aca="false">IFERROR(INDEX('Feature Log'!$C$4:$C$30,MATCH(VALUE(LEFT(C17,FIND(",",C17&amp;",")-1)),'Feature Log'!$A$4:$A$30,0)),"")</f>
        <v>Terminado</v>
      </c>
    </row>
    <row r="18" customFormat="false" ht="15" hidden="false" customHeight="false" outlineLevel="0" collapsed="false">
      <c r="A18" s="4" t="s">
        <v>433</v>
      </c>
      <c r="B18" s="5" t="s">
        <v>434</v>
      </c>
      <c r="C18" s="4" t="s">
        <v>435</v>
      </c>
      <c r="D18" s="5" t="s">
        <v>113</v>
      </c>
      <c r="E18" s="4" t="str">
        <f aca="false">IFERROR(INDEX('Feature Log'!$C$4:$C$30,MATCH(VALUE(LEFT(C18,FIND(",",C18&amp;",")-1)),'Feature Log'!$A$4:$A$30,0)),"")</f>
        <v>Terminado</v>
      </c>
    </row>
    <row r="19" customFormat="false" ht="15" hidden="false" customHeight="false" outlineLevel="0" collapsed="false">
      <c r="A19" s="4" t="s">
        <v>436</v>
      </c>
      <c r="B19" s="5" t="s">
        <v>437</v>
      </c>
      <c r="C19" s="4" t="s">
        <v>438</v>
      </c>
      <c r="D19" s="5" t="s">
        <v>129</v>
      </c>
      <c r="E19" s="4" t="str">
        <f aca="false">IFERROR(INDEX('Feature Log'!$C$4:$C$30,MATCH(VALUE(LEFT(C19,FIND(",",C19&amp;",")-1)),'Feature Log'!$A$4:$A$30,0)),"")</f>
        <v>Terminado</v>
      </c>
    </row>
    <row r="20" customFormat="false" ht="15" hidden="false" customHeight="false" outlineLevel="0" collapsed="false">
      <c r="A20" s="4" t="s">
        <v>439</v>
      </c>
      <c r="B20" s="5" t="s">
        <v>440</v>
      </c>
      <c r="C20" s="4" t="s">
        <v>441</v>
      </c>
      <c r="D20" s="5" t="s">
        <v>442</v>
      </c>
      <c r="E20" s="4" t="str">
        <f aca="false">IFERROR(INDEX('Feature Log'!$C$4:$C$30,MATCH(VALUE(LEFT(C20,FIND(",",C20&amp;",")-1)),'Feature Log'!$A$4:$A$30,0)),"")</f>
        <v>Terminado</v>
      </c>
    </row>
    <row r="21" customFormat="false" ht="15" hidden="false" customHeight="false" outlineLevel="0" collapsed="false">
      <c r="A21" s="4" t="s">
        <v>443</v>
      </c>
      <c r="B21" s="5" t="s">
        <v>444</v>
      </c>
      <c r="C21" s="4" t="s">
        <v>445</v>
      </c>
      <c r="D21" s="5" t="s">
        <v>446</v>
      </c>
      <c r="E21" s="4" t="str">
        <f aca="false">IFERROR(INDEX('Feature Log'!$C$4:$C$30,MATCH(VALUE(LEFT(C21,FIND(",",C21&amp;",")-1)),'Feature Log'!$A$4:$A$30,0)),"")</f>
        <v>En desarrollo</v>
      </c>
    </row>
    <row r="22" customFormat="false" ht="15" hidden="false" customHeight="false" outlineLevel="0" collapsed="false">
      <c r="A22" s="4" t="s">
        <v>447</v>
      </c>
      <c r="B22" s="5" t="s">
        <v>448</v>
      </c>
      <c r="C22" s="4" t="s">
        <v>449</v>
      </c>
      <c r="D22" s="5" t="s">
        <v>450</v>
      </c>
      <c r="E22" s="4" t="str">
        <f aca="false">IFERROR(INDEX('Feature Log'!$C$4:$C$30,MATCH(VALUE(LEFT(C22,FIND(",",C22&amp;",")-1)),'Feature Log'!$A$4:$A$30,0)),"")</f>
        <v>En desarrollo</v>
      </c>
    </row>
    <row r="23" customFormat="false" ht="15" hidden="false" customHeight="false" outlineLevel="0" collapsed="false">
      <c r="A23" s="4" t="s">
        <v>451</v>
      </c>
      <c r="B23" s="5" t="s">
        <v>452</v>
      </c>
      <c r="C23" s="4" t="s">
        <v>453</v>
      </c>
      <c r="D23" s="5" t="s">
        <v>454</v>
      </c>
      <c r="E23" s="4" t="str">
        <f aca="false">IFERROR(INDEX('Feature Log'!$C$4:$C$30,MATCH(VALUE(LEFT(C23,FIND(",",C23&amp;",")-1)),'Feature Log'!$A$4:$A$30,0)),"")</f>
        <v>Terminado</v>
      </c>
    </row>
  </sheetData>
  <mergeCells count="2">
    <mergeCell ref="A1:E1"/>
    <mergeCell ref="A2:E2"/>
  </mergeCells>
  <conditionalFormatting sqref="E4:E23">
    <cfRule type="cellIs" priority="2" operator="equal" aboveAverage="0" equalAverage="0" bottom="0" percent="0" rank="0" text="" dxfId="0">
      <formula>"Terminado"</formula>
    </cfRule>
    <cfRule type="cellIs" priority="3" operator="equal" aboveAverage="0" equalAverage="0" bottom="0" percent="0" rank="0" text="" dxfId="1">
      <formula>"En desarrollo"</formula>
    </cfRule>
    <cfRule type="cellIs" priority="4" operator="equal" aboveAverage="0" equalAverage="0" bottom="0" percent="0" rank="0" text="" dxfId="2">
      <formula>"Planeado"</formula>
    </cfRule>
    <cfRule type="cellIs" priority="5" operator="equal" aboveAverage="0" equalAverage="0" bottom="0" percent="0" rank="0" text="" dxfId="0">
      <formula>"Corregido"</formula>
    </cfRule>
    <cfRule type="cellIs" priority="6" operator="equal" aboveAverage="0" equalAverage="0" bottom="0" percent="0" rank="0" text="" dxfId="0">
      <formula>"Aprobada"</formula>
    </cfRule>
    <cfRule type="cellIs" priority="7" operator="equal" aboveAverage="0" equalAverage="0" bottom="0" percent="0" rank="0" text="" dxfId="1">
      <formula>"Por verificar"</formula>
    </cfRule>
    <cfRule type="cellIs" priority="8" operator="equal" aboveAverage="0" equalAverage="0" bottom="0" percent="0" rank="0" text="" dxfId="1">
      <formula>"Pendiente"</formula>
    </cfRule>
    <cfRule type="cellIs" priority="9" operator="equal" aboveAverage="0" equalAverage="0" bottom="0" percent="0" rank="0" text="" dxfId="3">
      <formula>"Abierto"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455</v>
      </c>
      <c r="B1" s="1"/>
    </row>
    <row r="3" customFormat="false" ht="15" hidden="false" customHeight="false" outlineLevel="0" collapsed="false">
      <c r="A3" s="18" t="s">
        <v>456</v>
      </c>
      <c r="B3" s="5" t="s">
        <v>457</v>
      </c>
    </row>
    <row r="4" customFormat="false" ht="15" hidden="false" customHeight="false" outlineLevel="0" collapsed="false">
      <c r="A4" s="18" t="s">
        <v>458</v>
      </c>
      <c r="B4" s="5" t="str">
        <f aca="false">COUNTIF('Sprint Backlog'!$F$4:$F$49,"Terminado")&amp;" de "&amp;COUNTA('Sprint Backlog'!$A$4:$A$49)</f>
        <v>43 de 46</v>
      </c>
    </row>
    <row r="5" customFormat="false" ht="15" hidden="false" customHeight="false" outlineLevel="0" collapsed="false">
      <c r="A5" s="18" t="s">
        <v>459</v>
      </c>
      <c r="B5" s="5" t="str">
        <f aca="false">SUMIF('Sprint Backlog'!$F$4:$F$49,"Terminado",'Sprint Backlog'!$G$4:$G$49)&amp;" de "&amp;'Sprint Backlog'!$G$51&amp;" hrs"</f>
        <v>178 de 187 hrs</v>
      </c>
    </row>
    <row r="6" customFormat="false" ht="15" hidden="false" customHeight="false" outlineLevel="0" collapsed="false">
      <c r="A6" s="18" t="s">
        <v>460</v>
      </c>
      <c r="B6" s="5" t="str">
        <f aca="false">COUNTIF('Feature Log'!$C$4:$C$30,"Terminado")&amp;" de "&amp;COUNTA('Feature Log'!$A$4:$A$30)</f>
        <v>24 de 27</v>
      </c>
    </row>
    <row r="7" customFormat="false" ht="15" hidden="false" customHeight="false" outlineLevel="0" collapsed="false">
      <c r="A7" s="18" t="s">
        <v>461</v>
      </c>
      <c r="B7" s="5" t="str">
        <f aca="false">COUNTIF(Buglist!$E$4:$E$21,"Corregido")&amp;" de "&amp;COUNTA(Buglist!$A$4:$A$21)</f>
        <v>17 de 18</v>
      </c>
    </row>
    <row r="8" customFormat="false" ht="15" hidden="false" customHeight="false" outlineLevel="0" collapsed="false">
      <c r="A8" s="18" t="s">
        <v>462</v>
      </c>
      <c r="B8" s="5" t="str">
        <f aca="false">COUNTIF('Pruebas Alfa'!$G$4:$G$20,"Aprobada")&amp;" de "&amp;COUNTA('Pruebas Alfa'!$A$4:$A$20)</f>
        <v>10 de 17</v>
      </c>
    </row>
    <row r="9" customFormat="false" ht="28.35" hidden="false" customHeight="false" outlineLevel="0" collapsed="false">
      <c r="A9" s="18" t="s">
        <v>463</v>
      </c>
      <c r="B9" s="5" t="s">
        <v>464</v>
      </c>
    </row>
    <row r="10" customFormat="false" ht="28.35" hidden="false" customHeight="false" outlineLevel="0" collapsed="false">
      <c r="A10" s="18" t="s">
        <v>465</v>
      </c>
      <c r="B10" s="5" t="s">
        <v>466</v>
      </c>
    </row>
    <row r="11" customFormat="false" ht="41.75" hidden="false" customHeight="false" outlineLevel="0" collapsed="false">
      <c r="A11" s="18" t="s">
        <v>467</v>
      </c>
      <c r="B11" s="5" t="s">
        <v>468</v>
      </c>
    </row>
    <row r="12" customFormat="false" ht="28.35" hidden="false" customHeight="false" outlineLevel="0" collapsed="false">
      <c r="A12" s="18" t="s">
        <v>469</v>
      </c>
      <c r="B12" s="5" t="s">
        <v>470</v>
      </c>
    </row>
    <row r="13" customFormat="false" ht="15" hidden="false" customHeight="false" outlineLevel="0" collapsed="false">
      <c r="A13" s="18" t="s">
        <v>471</v>
      </c>
      <c r="B13" s="5" t="s">
        <v>472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8" min="7" style="0" width="10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2" min="11" style="0" width="30"/>
    <col collapsed="false" customWidth="true" hidden="false" outlineLevel="0" max="13" min="13" style="0" width="14"/>
    <col collapsed="false" customWidth="true" hidden="false" outlineLevel="0" max="14" min="14" style="0" width="13"/>
  </cols>
  <sheetData>
    <row r="1" customFormat="false" ht="17.35" hidden="false" customHeight="false" outlineLevel="0" collapsed="false">
      <c r="A1" s="1" t="s">
        <v>473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474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31.5" hidden="false" customHeight="true" outlineLevel="0" collapsed="false">
      <c r="A3" s="3" t="s">
        <v>298</v>
      </c>
      <c r="B3" s="3" t="s">
        <v>186</v>
      </c>
      <c r="C3" s="3" t="s">
        <v>475</v>
      </c>
      <c r="D3" s="3" t="s">
        <v>476</v>
      </c>
      <c r="E3" s="3" t="s">
        <v>477</v>
      </c>
      <c r="F3" s="3" t="s">
        <v>478</v>
      </c>
      <c r="G3" s="3" t="s">
        <v>479</v>
      </c>
      <c r="H3" s="3" t="s">
        <v>480</v>
      </c>
      <c r="I3" s="3" t="s">
        <v>481</v>
      </c>
      <c r="J3" s="3" t="s">
        <v>482</v>
      </c>
      <c r="K3" s="3" t="s">
        <v>483</v>
      </c>
      <c r="L3" s="3" t="s">
        <v>484</v>
      </c>
      <c r="M3" s="3" t="s">
        <v>485</v>
      </c>
      <c r="N3" s="3" t="s">
        <v>4</v>
      </c>
    </row>
    <row r="4" customFormat="false" ht="15" hidden="false" customHeight="false" outlineLevel="0" collapsed="false">
      <c r="A4" s="4" t="s">
        <v>486</v>
      </c>
      <c r="B4" s="6"/>
      <c r="C4" s="5"/>
      <c r="D4" s="4"/>
      <c r="E4" s="4"/>
      <c r="F4" s="4"/>
      <c r="G4" s="4"/>
      <c r="H4" s="4"/>
      <c r="I4" s="4"/>
      <c r="J4" s="4"/>
      <c r="K4" s="5"/>
      <c r="L4" s="5"/>
      <c r="M4" s="4"/>
      <c r="N4" s="4"/>
    </row>
    <row r="5" customFormat="false" ht="15" hidden="false" customHeight="false" outlineLevel="0" collapsed="false">
      <c r="A5" s="4" t="s">
        <v>487</v>
      </c>
      <c r="B5" s="6"/>
      <c r="C5" s="5"/>
      <c r="D5" s="4"/>
      <c r="E5" s="4"/>
      <c r="F5" s="4"/>
      <c r="G5" s="4"/>
      <c r="H5" s="4"/>
      <c r="I5" s="4"/>
      <c r="J5" s="4"/>
      <c r="K5" s="5"/>
      <c r="L5" s="5"/>
      <c r="M5" s="4"/>
      <c r="N5" s="4"/>
    </row>
    <row r="6" customFormat="false" ht="15" hidden="false" customHeight="false" outlineLevel="0" collapsed="false">
      <c r="A6" s="4" t="s">
        <v>488</v>
      </c>
      <c r="B6" s="6"/>
      <c r="C6" s="5"/>
      <c r="D6" s="4"/>
      <c r="E6" s="4"/>
      <c r="F6" s="4"/>
      <c r="G6" s="4"/>
      <c r="H6" s="4"/>
      <c r="I6" s="4"/>
      <c r="J6" s="4"/>
      <c r="K6" s="5"/>
      <c r="L6" s="5"/>
      <c r="M6" s="4"/>
      <c r="N6" s="4"/>
    </row>
    <row r="7" customFormat="false" ht="15" hidden="false" customHeight="false" outlineLevel="0" collapsed="false">
      <c r="A7" s="4" t="s">
        <v>489</v>
      </c>
      <c r="B7" s="6"/>
      <c r="C7" s="5"/>
      <c r="D7" s="4"/>
      <c r="E7" s="4"/>
      <c r="F7" s="4"/>
      <c r="G7" s="4"/>
      <c r="H7" s="4"/>
      <c r="I7" s="4"/>
      <c r="J7" s="4"/>
      <c r="K7" s="5"/>
      <c r="L7" s="5"/>
      <c r="M7" s="4"/>
      <c r="N7" s="4"/>
    </row>
    <row r="8" customFormat="false" ht="15" hidden="false" customHeight="false" outlineLevel="0" collapsed="false">
      <c r="A8" s="4" t="s">
        <v>490</v>
      </c>
      <c r="B8" s="6"/>
      <c r="C8" s="5"/>
      <c r="D8" s="4"/>
      <c r="E8" s="4"/>
      <c r="F8" s="4"/>
      <c r="G8" s="4"/>
      <c r="H8" s="4"/>
      <c r="I8" s="4"/>
      <c r="J8" s="4"/>
      <c r="K8" s="5"/>
      <c r="L8" s="5"/>
      <c r="M8" s="4"/>
      <c r="N8" s="4"/>
    </row>
    <row r="9" customFormat="false" ht="15" hidden="false" customHeight="false" outlineLevel="0" collapsed="false">
      <c r="A9" s="4" t="s">
        <v>491</v>
      </c>
      <c r="B9" s="6"/>
      <c r="C9" s="5"/>
      <c r="D9" s="4"/>
      <c r="E9" s="4"/>
      <c r="F9" s="4"/>
      <c r="G9" s="4"/>
      <c r="H9" s="4"/>
      <c r="I9" s="4"/>
      <c r="J9" s="4"/>
      <c r="K9" s="5"/>
      <c r="L9" s="5"/>
      <c r="M9" s="4"/>
      <c r="N9" s="4"/>
    </row>
    <row r="10" customFormat="false" ht="15" hidden="false" customHeight="false" outlineLevel="0" collapsed="false">
      <c r="A10" s="4" t="s">
        <v>492</v>
      </c>
      <c r="B10" s="6"/>
      <c r="C10" s="5"/>
      <c r="D10" s="4"/>
      <c r="E10" s="4"/>
      <c r="F10" s="4"/>
      <c r="G10" s="4"/>
      <c r="H10" s="4"/>
      <c r="I10" s="4"/>
      <c r="J10" s="4"/>
      <c r="K10" s="5"/>
      <c r="L10" s="5"/>
      <c r="M10" s="4"/>
      <c r="N10" s="4"/>
    </row>
    <row r="11" customFormat="false" ht="15" hidden="false" customHeight="false" outlineLevel="0" collapsed="false">
      <c r="A11" s="4" t="s">
        <v>493</v>
      </c>
      <c r="B11" s="6"/>
      <c r="C11" s="5"/>
      <c r="D11" s="4"/>
      <c r="E11" s="4"/>
      <c r="F11" s="4"/>
      <c r="G11" s="4"/>
      <c r="H11" s="4"/>
      <c r="I11" s="4"/>
      <c r="J11" s="4"/>
      <c r="K11" s="5"/>
      <c r="L11" s="5"/>
      <c r="M11" s="4"/>
      <c r="N11" s="4"/>
    </row>
    <row r="12" customFormat="false" ht="15" hidden="false" customHeight="false" outlineLevel="0" collapsed="false">
      <c r="A12" s="4" t="s">
        <v>494</v>
      </c>
      <c r="B12" s="6"/>
      <c r="C12" s="5"/>
      <c r="D12" s="4"/>
      <c r="E12" s="4"/>
      <c r="F12" s="4"/>
      <c r="G12" s="4"/>
      <c r="H12" s="4"/>
      <c r="I12" s="4"/>
      <c r="J12" s="4"/>
      <c r="K12" s="5"/>
      <c r="L12" s="5"/>
      <c r="M12" s="4"/>
      <c r="N12" s="4"/>
    </row>
    <row r="13" customFormat="false" ht="15" hidden="false" customHeight="false" outlineLevel="0" collapsed="false">
      <c r="A13" s="4" t="s">
        <v>495</v>
      </c>
      <c r="B13" s="6"/>
      <c r="C13" s="5"/>
      <c r="D13" s="4"/>
      <c r="E13" s="4"/>
      <c r="F13" s="4"/>
      <c r="G13" s="4"/>
      <c r="H13" s="4"/>
      <c r="I13" s="4"/>
      <c r="J13" s="4"/>
      <c r="K13" s="5"/>
      <c r="L13" s="5"/>
      <c r="M13" s="4"/>
      <c r="N13" s="4"/>
    </row>
    <row r="14" customFormat="false" ht="15" hidden="false" customHeight="false" outlineLevel="0" collapsed="false">
      <c r="A14" s="4" t="s">
        <v>496</v>
      </c>
      <c r="B14" s="6"/>
      <c r="C14" s="5"/>
      <c r="D14" s="4"/>
      <c r="E14" s="4"/>
      <c r="F14" s="4"/>
      <c r="G14" s="4"/>
      <c r="H14" s="4"/>
      <c r="I14" s="4"/>
      <c r="J14" s="4"/>
      <c r="K14" s="5"/>
      <c r="L14" s="5"/>
      <c r="M14" s="4"/>
      <c r="N14" s="4"/>
    </row>
    <row r="15" customFormat="false" ht="15" hidden="false" customHeight="false" outlineLevel="0" collapsed="false">
      <c r="A15" s="4" t="s">
        <v>497</v>
      </c>
      <c r="B15" s="6"/>
      <c r="C15" s="5"/>
      <c r="D15" s="4"/>
      <c r="E15" s="4"/>
      <c r="F15" s="4"/>
      <c r="G15" s="4"/>
      <c r="H15" s="4"/>
      <c r="I15" s="4"/>
      <c r="J15" s="4"/>
      <c r="K15" s="5"/>
      <c r="L15" s="5"/>
      <c r="M15" s="4"/>
      <c r="N15" s="4"/>
    </row>
    <row r="16" customFormat="false" ht="15" hidden="false" customHeight="false" outlineLevel="0" collapsed="false">
      <c r="A16" s="4" t="s">
        <v>498</v>
      </c>
      <c r="B16" s="6"/>
      <c r="C16" s="5"/>
      <c r="D16" s="4"/>
      <c r="E16" s="4"/>
      <c r="F16" s="4"/>
      <c r="G16" s="4"/>
      <c r="H16" s="4"/>
      <c r="I16" s="4"/>
      <c r="J16" s="4"/>
      <c r="K16" s="5"/>
      <c r="L16" s="5"/>
      <c r="M16" s="4"/>
      <c r="N16" s="4"/>
    </row>
    <row r="17" customFormat="false" ht="15" hidden="false" customHeight="false" outlineLevel="0" collapsed="false">
      <c r="A17" s="4" t="s">
        <v>499</v>
      </c>
      <c r="B17" s="6"/>
      <c r="C17" s="5"/>
      <c r="D17" s="4"/>
      <c r="E17" s="4"/>
      <c r="F17" s="4"/>
      <c r="G17" s="4"/>
      <c r="H17" s="4"/>
      <c r="I17" s="4"/>
      <c r="J17" s="4"/>
      <c r="K17" s="5"/>
      <c r="L17" s="5"/>
      <c r="M17" s="4"/>
      <c r="N17" s="4"/>
    </row>
    <row r="18" customFormat="false" ht="15" hidden="false" customHeight="false" outlineLevel="0" collapsed="false">
      <c r="A18" s="4" t="s">
        <v>500</v>
      </c>
      <c r="B18" s="6"/>
      <c r="C18" s="5"/>
      <c r="D18" s="4"/>
      <c r="E18" s="4"/>
      <c r="F18" s="4"/>
      <c r="G18" s="4"/>
      <c r="H18" s="4"/>
      <c r="I18" s="4"/>
      <c r="J18" s="4"/>
      <c r="K18" s="5"/>
      <c r="L18" s="5"/>
      <c r="M18" s="4"/>
      <c r="N18" s="4"/>
    </row>
    <row r="20" customFormat="false" ht="15" hidden="false" customHeight="false" outlineLevel="0" collapsed="false">
      <c r="F20" s="8" t="s">
        <v>501</v>
      </c>
      <c r="H20" s="19" t="n">
        <f aca="false">COUNTA(C4:C18)</f>
        <v>0</v>
      </c>
    </row>
    <row r="21" customFormat="false" ht="15" hidden="false" customHeight="false" outlineLevel="0" collapsed="false">
      <c r="F21" s="8" t="s">
        <v>502</v>
      </c>
      <c r="H21" s="0" t="str">
        <f aca="false">IF(COUNT(H4:H18)=0,"",ROUND(AVERAGE(H4:H18),1))</f>
        <v/>
      </c>
    </row>
    <row r="22" customFormat="false" ht="15" hidden="false" customHeight="false" outlineLevel="0" collapsed="false">
      <c r="F22" s="8" t="s">
        <v>503</v>
      </c>
      <c r="H22" s="0" t="str">
        <f aca="false">IF(COUNT(I4:I18)=0,"",ROUND(AVERAGE(I4:I18),1))</f>
        <v/>
      </c>
    </row>
    <row r="23" customFormat="false" ht="15" hidden="false" customHeight="false" outlineLevel="0" collapsed="false">
      <c r="F23" s="8" t="s">
        <v>504</v>
      </c>
      <c r="H23" s="0" t="str">
        <f aca="false">IF(COUNT(J4:J18)=0,"",ROUND(AVERAGE(J4:J18),1))</f>
        <v/>
      </c>
    </row>
    <row r="24" customFormat="false" ht="15" hidden="false" customHeight="false" outlineLevel="0" collapsed="false">
      <c r="F24" s="8" t="s">
        <v>505</v>
      </c>
      <c r="H24" s="19" t="n">
        <f aca="false">COUNTIF(F4:F18,"Terminó el juego")</f>
        <v>0</v>
      </c>
    </row>
  </sheetData>
  <mergeCells count="2">
    <mergeCell ref="A1:N1"/>
    <mergeCell ref="A2:N2"/>
  </mergeCells>
  <conditionalFormatting sqref="N4:N18">
    <cfRule type="cellIs" priority="2" operator="equal" aboveAverage="0" equalAverage="0" bottom="0" percent="0" rank="0" text="" dxfId="0">
      <formula>"Terminado"</formula>
    </cfRule>
    <cfRule type="cellIs" priority="3" operator="equal" aboveAverage="0" equalAverage="0" bottom="0" percent="0" rank="0" text="" dxfId="1">
      <formula>"En desarrollo"</formula>
    </cfRule>
    <cfRule type="cellIs" priority="4" operator="equal" aboveAverage="0" equalAverage="0" bottom="0" percent="0" rank="0" text="" dxfId="2">
      <formula>"Planeado"</formula>
    </cfRule>
    <cfRule type="cellIs" priority="5" operator="equal" aboveAverage="0" equalAverage="0" bottom="0" percent="0" rank="0" text="" dxfId="0">
      <formula>"Corregido"</formula>
    </cfRule>
    <cfRule type="cellIs" priority="6" operator="equal" aboveAverage="0" equalAverage="0" bottom="0" percent="0" rank="0" text="" dxfId="0">
      <formula>"Aprobada"</formula>
    </cfRule>
    <cfRule type="cellIs" priority="7" operator="equal" aboveAverage="0" equalAverage="0" bottom="0" percent="0" rank="0" text="" dxfId="1">
      <formula>"Por verificar"</formula>
    </cfRule>
    <cfRule type="cellIs" priority="8" operator="equal" aboveAverage="0" equalAverage="0" bottom="0" percent="0" rank="0" text="" dxfId="1">
      <formula>"Pendiente"</formula>
    </cfRule>
    <cfRule type="cellIs" priority="9" operator="equal" aboveAverage="0" equalAverage="0" bottom="0" percent="0" rank="0" text="" dxfId="3">
      <formula>"Abierto"</formula>
    </cfRule>
  </conditionalFormatting>
  <dataValidations count="5">
    <dataValidation allowBlank="true" errorStyle="stop" operator="between" showDropDown="false" showErrorMessage="false" showInputMessage="false" sqref="D4:D18" type="list">
      <formula1>"Cerrada,Abierta"</formula1>
      <formula2>0</formula2>
    </dataValidation>
    <dataValidation allowBlank="true" errorStyle="stop" operator="between" showDropDown="false" showErrorMessage="false" showInputMessage="false" sqref="E4:E18" type="list">
      <formula1>"Teclado,Control PS4,Control Xbox"</formula1>
      <formula2>0</formula2>
    </dataValidation>
    <dataValidation allowBlank="true" errorStyle="stop" operator="between" showDropDown="false" showErrorMessage="false" showInputMessage="false" sqref="F4:F18" type="list">
      <formula1>"Aprendizaje,Fuego,Hielo,Viento,Corazón,Terminó el juego"</formula1>
      <formula2>0</formula2>
    </dataValidation>
    <dataValidation allowBlank="true" errorStyle="stop" operator="between" showDropDown="false" showErrorMessage="false" showInputMessage="false" sqref="N4:N18" type="list">
      <formula1>"Pendiente,Registrada,Atendida"</formula1>
      <formula2>0</formula2>
    </dataValidation>
    <dataValidation allowBlank="true" errorStyle="stop" operator="between" showDropDown="false" showErrorMessage="false" showInputMessage="false" sqref="H4:J18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2026-10-20T10:06:09Z</dcterms:created>
  <dc:creator>Alejandro Pérez Alcántara</dc:creator>
  <dc:description/>
  <dc:language>es-MX</dc:language>
  <cp:lastModifiedBy>Alejandro Pérez Alcántara</cp:lastModifiedBy>
  <dcterms:modified xsi:type="dcterms:W3CDTF">2026-10-20T04:06:11Z</dcterms:modified>
  <cp:revision>1</cp:revision>
  <dc:subject/>
  <dc:title>Producción Ecos del Grimorio - Sprint 2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