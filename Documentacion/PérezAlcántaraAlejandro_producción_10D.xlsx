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Feature Log" sheetId="2" state="visible" r:id="rId4"/>
    <sheet name="Sprint Plan" sheetId="3" state="visible" r:id="rId5"/>
    <sheet name="Sprint Backlog" sheetId="4" state="visible" r:id="rId6"/>
    <sheet name="Daily Huddle" sheetId="5" state="visible" r:id="rId7"/>
    <sheet name="Project Chart" sheetId="6" state="visible" r:id="rId8"/>
    <sheet name="Burn-down Chart" sheetId="7" state="visible" r:id="rId9"/>
    <sheet name="Task Chart" sheetId="8" state="visible" r:id="rId10"/>
    <sheet name="Buglist" sheetId="9" state="visible" r:id="rId11"/>
    <sheet name="Pruebas Alfa" sheetId="10" state="visible" r:id="rId12"/>
    <sheet name="Evaluación Beta" sheetId="11" state="visible" r:id="rId13"/>
    <sheet name="Matriz GDD" sheetId="12" state="visible" r:id="rId14"/>
    <sheet name="Gantt" sheetId="13" state="visible" r:id="rId15"/>
    <sheet name="Sprint Review" sheetId="14" state="visible" r:id="rId16"/>
  </sheets>
  <definedNames>
    <definedName function="false" hidden="false" localSheetId="8" name="_xlnm.Print_Titles" vbProcedure="false">Buglist!$3:$3</definedName>
    <definedName function="false" hidden="true" localSheetId="8" name="_xlnm._FilterDatabase" vbProcedure="false">Buglist!$A$3:$I$39</definedName>
    <definedName function="false" hidden="false" localSheetId="4" name="_xlnm.Print_Titles" vbProcedure="false">'Daily Huddle'!$3:$3</definedName>
    <definedName function="false" hidden="false" localSheetId="10" name="_xlnm.Print_Titles" vbProcedure="false">'Evaluación Beta'!$3:$3</definedName>
    <definedName function="false" hidden="false" localSheetId="1" name="_xlnm.Print_Titles" vbProcedure="false">'Feature Log'!$3:$3</definedName>
    <definedName function="false" hidden="false" localSheetId="12" name="_xlnm.Print_Titles" vbProcedure="false">Gantt!$4:$4</definedName>
    <definedName function="false" hidden="false" localSheetId="11" name="_xlnm.Print_Titles" vbProcedure="false">'Matriz GDD'!$3:$3</definedName>
    <definedName function="false" hidden="false" localSheetId="9" name="_xlnm.Print_Titles" vbProcedure="false">'Pruebas Alfa'!$3:$3</definedName>
    <definedName function="false" hidden="false" localSheetId="3" name="_xlnm.Print_Titles" vbProcedure="false">'Sprint Backlog'!$3:$3</definedName>
    <definedName function="false" hidden="true" localSheetId="3" name="_xlnm._FilterDatabase" vbProcedure="false">'Sprint Backlog'!$A$3:$J$85</definedName>
    <definedName function="false" hidden="false" localSheetId="2" name="_xlnm.Print_Titles" vbProcedure="false">'Sprint Plan'!$3:$3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<sst xmlns="http://schemas.openxmlformats.org/spreadsheetml/2006/main" count="1237" uniqueCount="755">
  <si>
    <t xml:space="preserve">ECOS DEL GRIMORIO</t>
  </si>
  <si>
    <t xml:space="preserve">Libro de producción · Proceso Huddle · Sprints 1 a 4</t>
  </si>
  <si>
    <t xml:space="preserve">Alumno</t>
  </si>
  <si>
    <t xml:space="preserve">Alejandro Pérez Alcántara</t>
  </si>
  <si>
    <t xml:space="preserve">Grupo</t>
  </si>
  <si>
    <t xml:space="preserve">10° "D"</t>
  </si>
  <si>
    <t xml:space="preserve">Materia</t>
  </si>
  <si>
    <t xml:space="preserve">Creación de Videojuegos</t>
  </si>
  <si>
    <t xml:space="preserve">Docente</t>
  </si>
  <si>
    <t xml:space="preserve">José Francisco Espinosa Garita</t>
  </si>
  <si>
    <t xml:space="preserve">Universidad</t>
  </si>
  <si>
    <t xml:space="preserve">Universidad Tecnológica de Puebla</t>
  </si>
  <si>
    <t xml:space="preserve">Motor</t>
  </si>
  <si>
    <t xml:space="preserve">Unity 6 (6000.6.0f1), 2D URP, C#</t>
  </si>
  <si>
    <t xml:space="preserve">Jugar en línea</t>
  </si>
  <si>
    <t xml:space="preserve">https://alexap1115web.github.io/Ecos-Del-Grimorio/</t>
  </si>
  <si>
    <t xml:space="preserve">Repositorio</t>
  </si>
  <si>
    <t xml:space="preserve">https://github.com/AlexAP1115web/Ecos-Del-Grimorio</t>
  </si>
  <si>
    <t xml:space="preserve">Versión del documento</t>
  </si>
  <si>
    <t xml:space="preserve">1.0</t>
  </si>
  <si>
    <t xml:space="preserve">Última actualización</t>
  </si>
  <si>
    <t xml:space="preserve">Resumen por sprint</t>
  </si>
  <si>
    <t xml:space="preserve">Sprint</t>
  </si>
  <si>
    <t xml:space="preserve">Inicio</t>
  </si>
  <si>
    <t xml:space="preserve">Fin</t>
  </si>
  <si>
    <t xml:space="preserve">Estado</t>
  </si>
  <si>
    <t xml:space="preserve">Tareas</t>
  </si>
  <si>
    <t xml:space="preserve">Terminadas</t>
  </si>
  <si>
    <t xml:space="preserve">Avance (horas)</t>
  </si>
  <si>
    <t xml:space="preserve">Sprint 1</t>
  </si>
  <si>
    <t xml:space="preserve">Sprint 2</t>
  </si>
  <si>
    <t xml:space="preserve">Sprint 3</t>
  </si>
  <si>
    <t xml:space="preserve">Sprint 4</t>
  </si>
  <si>
    <t xml:space="preserve">Total</t>
  </si>
  <si>
    <t xml:space="preserve">Contenido del libro</t>
  </si>
  <si>
    <t xml:space="preserve">Hoja</t>
  </si>
  <si>
    <t xml:space="preserve">Contenido</t>
  </si>
  <si>
    <t xml:space="preserve">Feature Log</t>
  </si>
  <si>
    <t xml:space="preserve">Registro de features, estado y sprint asignado.</t>
  </si>
  <si>
    <t xml:space="preserve">Sprint Plan</t>
  </si>
  <si>
    <t xml:space="preserve">Calendario, objetivo y entregable por sprint.</t>
  </si>
  <si>
    <t xml:space="preserve">Sprint Backlog</t>
  </si>
  <si>
    <t xml:space="preserve">Tareas por sprint con feature, estado, esfuerzo y fechas; resumen de avance.</t>
  </si>
  <si>
    <t xml:space="preserve">Daily Huddle</t>
  </si>
  <si>
    <t xml:space="preserve">Registro de avance, plan e impedimentos por sesión.</t>
  </si>
  <si>
    <t xml:space="preserve">Project Chart</t>
  </si>
  <si>
    <t xml:space="preserve">Distribución de features por estado.</t>
  </si>
  <si>
    <t xml:space="preserve">Burn-down Chart</t>
  </si>
  <si>
    <t xml:space="preserve">Trabajo restante real contra ideal, por sprint.</t>
  </si>
  <si>
    <t xml:space="preserve">Task Chart</t>
  </si>
  <si>
    <t xml:space="preserve">Tareas terminadas y restantes por fecha de corte, por sprint.</t>
  </si>
  <si>
    <t xml:space="preserve">Buglist</t>
  </si>
  <si>
    <t xml:space="preserve">Registro de defectos, severidad y estado de corrección.</t>
  </si>
  <si>
    <t xml:space="preserve">Pruebas Alfa</t>
  </si>
  <si>
    <t xml:space="preserve">Casos de prueba internos y resultados.</t>
  </si>
  <si>
    <t xml:space="preserve">Evaluación Beta</t>
  </si>
  <si>
    <t xml:space="preserve">Matriz de cumplimiento de la rúbrica y pruebas de compatibilidad.</t>
  </si>
  <si>
    <t xml:space="preserve">Matriz GDD</t>
  </si>
  <si>
    <t xml:space="preserve">Trazabilidad entre GDD, features y tareas.</t>
  </si>
  <si>
    <t xml:space="preserve">Gantt</t>
  </si>
  <si>
    <t xml:space="preserve">Cronograma semanal del proyecto.</t>
  </si>
  <si>
    <t xml:space="preserve">Sprint Review</t>
  </si>
  <si>
    <t xml:space="preserve">Indicadores y retrospectiva por sprint.</t>
  </si>
  <si>
    <t xml:space="preserve">FEATURE LOG - ECOS DEL GRIMORIO (todos los sprints)</t>
  </si>
  <si>
    <t xml:space="preserve">Nota: los features 1–14 provienen del Feature Log base (GDD 3.1); 15–26 se incorporaron en el Sprint 2 para cubrir secciones del GDD; el 27 deriva de pruebas internas; el 28, de la solicitud del docente (versión móvil); el 29 corresponde al arte de Preproducción.</t>
  </si>
  <si>
    <t xml:space="preserve">Featureid</t>
  </si>
  <si>
    <t xml:space="preserve">Nombre</t>
  </si>
  <si>
    <t xml:space="preserve">Días</t>
  </si>
  <si>
    <t xml:space="preserve">Sprintid</t>
  </si>
  <si>
    <t xml:space="preserve">Comentarios</t>
  </si>
  <si>
    <t xml:space="preserve">Movimiento y salto del jugador</t>
  </si>
  <si>
    <t xml:space="preserve">Terminado</t>
  </si>
  <si>
    <t xml:space="preserve">PlayerController.cs: aceleración, coyote time, búfer de salto, esquive, agacharse y planeo</t>
  </si>
  <si>
    <t xml:space="preserve">Sistema de maná y hechizo Arcano</t>
  </si>
  <si>
    <t xml:space="preserve">SpellCaster.cs + SpellData.cs; tres espacios de hechizo</t>
  </si>
  <si>
    <t xml:space="preserve">IA de patrulla/persecución básica</t>
  </si>
  <si>
    <t xml:space="preserve">EnemyBase.cs → EnemyAI, FlyingEnemyAI, RangedEnemyAI</t>
  </si>
  <si>
    <t xml:space="preserve">Sistema de vida (jugador/enemigos)</t>
  </si>
  <si>
    <t xml:space="preserve">Health.cs + IDamageable, resistencias por elemento</t>
  </si>
  <si>
    <t xml:space="preserve">Hechizo de Fuego y combo Explosión Arcana</t>
  </si>
  <si>
    <t xml:space="preserve">Se adelantó al Sprint 2</t>
  </si>
  <si>
    <t xml:space="preserve">Ala de Fuego completa con jefe Kaelor (Nivel 2)</t>
  </si>
  <si>
    <t xml:space="preserve">KaelorBoss.cs, 2 fases</t>
  </si>
  <si>
    <t xml:space="preserve">Hechizo de Hielo y combo Vapor Cegador</t>
  </si>
  <si>
    <t xml:space="preserve">Congela al tercer golpe (2.11)</t>
  </si>
  <si>
    <t xml:space="preserve">Ala de Hielo completa con jefa Isolde (Nivel 3)</t>
  </si>
  <si>
    <t xml:space="preserve">IsoldeBoss.cs, congela el suelo</t>
  </si>
  <si>
    <t xml:space="preserve">Hechizo de Viento y combos Granizo Cortante / Tormenta de Ascuas</t>
  </si>
  <si>
    <t xml:space="preserve">Planeado para Sprint 3, se adelantó</t>
  </si>
  <si>
    <t xml:space="preserve">Ala de Viento completa con jefe Threnody y plataformas móviles (Nivel 4)</t>
  </si>
  <si>
    <t xml:space="preserve">Corazón del Grimorio: Ecos Menores, Guardián Espejo y jefe final multifase (Nivel 5)</t>
  </si>
  <si>
    <t xml:space="preserve">ElenoraBoss.cs, 4 fases + final. Final del juego corregido el 7 de octubre</t>
  </si>
  <si>
    <t xml:space="preserve">Sistema de Logros (AchievementManager basado en eventos)</t>
  </si>
  <si>
    <t xml:space="preserve">10 logros, se adelantó del Sprint 4</t>
  </si>
  <si>
    <t xml:space="preserve">Sistema de truco / Easter egg (Modo Archimaga)</t>
  </si>
  <si>
    <t xml:space="preserve">Teclado F-H-V-A + Enter; control L1 + R1 + Triángulo</t>
  </si>
  <si>
    <t xml:space="preserve">Integración final, pulido y Gold Master</t>
  </si>
  <si>
    <t xml:space="preserve">En desarrollo</t>
  </si>
  <si>
    <t xml:space="preserve">2-4</t>
  </si>
  <si>
    <t xml:space="preserve">Pruebas Alfa en curso; Evaluación Beta en clase el 28/10; versión final en el Sprint 4</t>
  </si>
  <si>
    <t xml:space="preserve">Menú principal, pausa, Game Over y guardado (2.4, 2.5, 2.6)</t>
  </si>
  <si>
    <t xml:space="preserve">Agregado en Sprint 2 desde el GDD</t>
  </si>
  <si>
    <t xml:space="preserve">Pantalla de Opciones (2.5, 2.6)</t>
  </si>
  <si>
    <t xml:space="preserve">Volumen de música, efectos y voces, pantalla completa y vibración</t>
  </si>
  <si>
    <t xml:space="preserve">HUD y pantalla de resultados por ala (2.6)</t>
  </si>
  <si>
    <t xml:space="preserve">Tiempo, enemigos, daño, páginas, secretos</t>
  </si>
  <si>
    <t xml:space="preserve">Historia: prólogo, diálogos, epílogo y créditos (2.14)</t>
  </si>
  <si>
    <t xml:space="preserve">Prologo.cs, NPCDialogue.cs, CreditsScreen.cs</t>
  </si>
  <si>
    <t xml:space="preserve">Música, efectos de sonido y voces (2.17)</t>
  </si>
  <si>
    <t xml:space="preserve">9 pistas, 41 efectos (12 agregados el 15 oct) y voces por personaje</t>
  </si>
  <si>
    <t xml:space="preserve">Control de PS4 / Xbox y vibración (2.4)</t>
  </si>
  <si>
    <t xml:space="preserve">New Input System</t>
  </si>
  <si>
    <t xml:space="preserve">Habilidades elementales y acertijos ambientales (2.1, 2.3, 2.11)</t>
  </si>
  <si>
    <t xml:space="preserve">Zarzas, muros de hielo, cajas, placas y puertas rúnicas</t>
  </si>
  <si>
    <t xml:space="preserve">Armas de los enemigos (2.12)</t>
  </si>
  <si>
    <t xml:space="preserve">ArmaEnemigo.cs: Garras, Lanza, Embestida</t>
  </si>
  <si>
    <t xml:space="preserve">Ítems, coleccionables y salas secretas (2.8, 2.13)</t>
  </si>
  <si>
    <t xml:space="preserve">Páginas Perdidas, vasijas, cofres y fragmentos</t>
  </si>
  <si>
    <t xml:space="preserve">Build del juego para Windows (.exe) (5.1)</t>
  </si>
  <si>
    <t xml:space="preserve">2-3</t>
  </si>
  <si>
    <t xml:space="preserve">Menú Ecos del Grimorio &gt; Compilar juego (.exe). Primera compilación el 13 oct y versión 1.0 el 20 oct; falta probarlo en otra computadora</t>
  </si>
  <si>
    <t xml:space="preserve">Documentación del Producto 2 (producción y evidencias)</t>
  </si>
  <si>
    <t xml:space="preserve">Documento Word/PDF, manual del jugador y este libro de Excel</t>
  </si>
  <si>
    <t xml:space="preserve">Pruebas Beta y reporte Postmortem</t>
  </si>
  <si>
    <t xml:space="preserve">Evaluación Beta en clase con la rúbrica del docente (28/10); Postmortem en borrador</t>
  </si>
  <si>
    <t xml:space="preserve">Ayudas al jugador: ayuda para apuntar, sentido arcano y saltar nivel</t>
  </si>
  <si>
    <t xml:space="preserve">Agregado después de las pruebas del 14 y 15 de octubre y de la revisión en clase</t>
  </si>
  <si>
    <t xml:space="preserve">Versión web para celular (WebGL + PWA)</t>
  </si>
  <si>
    <t xml:space="preserve">Pedido del profe en la revisión. Botones táctiles, plantilla para instalarlo como app y publicación en GitHub Pages</t>
  </si>
  <si>
    <t xml:space="preserve">Arte conceptual: personajes, enemigos, jefes, fondos, ítems y UI (GDD)</t>
  </si>
  <si>
    <t xml:space="preserve">Preproducción. Bocetos a lápiz, arte digital y limpieza; se importó a Unity en el Sprint 2 (T01)</t>
  </si>
  <si>
    <t xml:space="preserve">SPRINT PLAN - ECOS DEL GRIMORIO</t>
  </si>
  <si>
    <t xml:space="preserve">Nota: cambios al plan base: features 9–13 adelantados al Sprint 2; la fase Beta se evalúa mediante demostración en clase con la rúbrica del docente (28/10/2026).</t>
  </si>
  <si>
    <t xml:space="preserve">Meta</t>
  </si>
  <si>
    <t xml:space="preserve">Entrega</t>
  </si>
  <si>
    <t xml:space="preserve">Preproducción y arte: GDD, bocetos, arte conceptual de personajes, enemigos, fondos, ítems y UI.</t>
  </si>
  <si>
    <t xml:space="preserve">Producto 1 (18 sep)</t>
  </si>
  <si>
    <t xml:space="preserve">Juego completo jugable en Unity: 5 alas, 4 guardianes y jefe final, logros, Modo Archimaga, opciones, resultados, música y voces. Versión web para celular. Evaluación Beta en clase.</t>
  </si>
  <si>
    <t xml:space="preserve">Producto 2 (30 oct) y Evaluación Beta en clase (28 oct)</t>
  </si>
  <si>
    <t xml:space="preserve">Planeado</t>
  </si>
  <si>
    <t xml:space="preserve">Registrar los resultados de la Evaluación Beta, corregir y balancear lo que salga, actualizar documentos y borrador del Postmortem.</t>
  </si>
  <si>
    <t xml:space="preserve">Producto 3 (20 nov)</t>
  </si>
  <si>
    <t xml:space="preserve">Versión final del .exe y de la web, Postmortem completo y entrega en memoria (.exe, documento del Producto 1 y código fuente comprimido).</t>
  </si>
  <si>
    <t xml:space="preserve">Entrega final (30 nov)</t>
  </si>
  <si>
    <t xml:space="preserve">SPRINT BACKLOG - TODOS LOS SPRINTS</t>
  </si>
  <si>
    <t xml:space="preserve">Nota: rangos de TaskID: Sprint 1: S1-01–S1-10; Sprint 2: T01–T53; Sprint 3: T54–T65; Sprint 4: T66–T72. La columna Fin alimenta el Burn-down y el Task Chart. S1-07 y S1-08 se cerraron en el Sprint 2 (T01).</t>
  </si>
  <si>
    <t xml:space="preserve">TaskID</t>
  </si>
  <si>
    <t xml:space="preserve">Nombre de la tarea</t>
  </si>
  <si>
    <t xml:space="preserve">Miembro</t>
  </si>
  <si>
    <t xml:space="preserve">Rol</t>
  </si>
  <si>
    <t xml:space="preserve">Esfuerzo (hrs)</t>
  </si>
  <si>
    <t xml:space="preserve">S1-01</t>
  </si>
  <si>
    <t xml:space="preserve">Arte de Lira</t>
  </si>
  <si>
    <t xml:space="preserve">Artista</t>
  </si>
  <si>
    <t xml:space="preserve">S1-02</t>
  </si>
  <si>
    <t xml:space="preserve">Arte del Espectro de Tinta</t>
  </si>
  <si>
    <t xml:space="preserve">S1-03</t>
  </si>
  <si>
    <t xml:space="preserve">Arte de Kaelor, Isolde y Threnody</t>
  </si>
  <si>
    <t xml:space="preserve">S1-04</t>
  </si>
  <si>
    <t xml:space="preserve">Los 5 fondos de las alas</t>
  </si>
  <si>
    <t xml:space="preserve">S1-05</t>
  </si>
  <si>
    <t xml:space="preserve">Arte de los 6 ítems</t>
  </si>
  <si>
    <t xml:space="preserve">S1-06</t>
  </si>
  <si>
    <t xml:space="preserve">Arte de la UI (barras y marcos)</t>
  </si>
  <si>
    <t xml:space="preserve">S1-07</t>
  </si>
  <si>
    <t xml:space="preserve">Arte de los 11 enemigos comunes</t>
  </si>
  <si>
    <t xml:space="preserve">S1-08</t>
  </si>
  <si>
    <t xml:space="preserve">Limpieza y revisión de las imágenes</t>
  </si>
  <si>
    <t xml:space="preserve">S1-09</t>
  </si>
  <si>
    <t xml:space="preserve">Bocetos a lápiz</t>
  </si>
  <si>
    <t xml:space="preserve">S1-10</t>
  </si>
  <si>
    <t xml:space="preserve">Revisión y verificación del arte</t>
  </si>
  <si>
    <t xml:space="preserve">T01</t>
  </si>
  <si>
    <t xml:space="preserve">Ordenar sprites e importarlos a Unity (ConfigureSprites.cs)</t>
  </si>
  <si>
    <t xml:space="preserve">Programador</t>
  </si>
  <si>
    <t xml:space="preserve">T02</t>
  </si>
  <si>
    <t xml:space="preserve">ScriptableObjects SpellData, ItemData y EnemyData</t>
  </si>
  <si>
    <t xml:space="preserve">T03</t>
  </si>
  <si>
    <t xml:space="preserve">PlayerController: movimiento, salto, coyote time, búfer y esquive</t>
  </si>
  <si>
    <t xml:space="preserve">T04</t>
  </si>
  <si>
    <t xml:space="preserve">Health.cs, interfaz IDamageable y resistencias por elemento</t>
  </si>
  <si>
    <t xml:space="preserve">T05</t>
  </si>
  <si>
    <t xml:space="preserve">SpellCaster: tres hechizos equipados, maná y tiempo de recarga</t>
  </si>
  <si>
    <t xml:space="preserve">T06</t>
  </si>
  <si>
    <t xml:space="preserve">EnemyBase y herencia de IA (EnemyAI, FlyingEnemyAI, RangedEnemyAI)</t>
  </si>
  <si>
    <t xml:space="preserve">T07</t>
  </si>
  <si>
    <t xml:space="preserve">GameManager con los estados del juego (2.5) y guardado</t>
  </si>
  <si>
    <t xml:space="preserve">T08</t>
  </si>
  <si>
    <t xml:space="preserve">Herramienta de editor que arma escenas y prefabs (CrearJuego.cs)</t>
  </si>
  <si>
    <t xml:space="preserve">T09</t>
  </si>
  <si>
    <t xml:space="preserve">Ala de Fuego con Centinelas, Salamandras y Kaelor</t>
  </si>
  <si>
    <t xml:space="preserve">T10</t>
  </si>
  <si>
    <t xml:space="preserve">Ala de Hielo con Espectros Escarchados, Cristales e Isolde</t>
  </si>
  <si>
    <t xml:space="preserve">T11</t>
  </si>
  <si>
    <t xml:space="preserve">Ala de Viento con Aves, Golems, plataformas móviles y Threnody</t>
  </si>
  <si>
    <t xml:space="preserve">T12</t>
  </si>
  <si>
    <t xml:space="preserve">Corazón del Grimorio y Eco de Elenora (4 fases + final)</t>
  </si>
  <si>
    <t xml:space="preserve">T13</t>
  </si>
  <si>
    <t xml:space="preserve">AchievementManager con los 10 logros</t>
  </si>
  <si>
    <t xml:space="preserve">T14</t>
  </si>
  <si>
    <t xml:space="preserve">Menú principal, pausa y Game Over con UGUI</t>
  </si>
  <si>
    <t xml:space="preserve">T15</t>
  </si>
  <si>
    <t xml:space="preserve">Prólogo, diálogos de personajes y textos de la historia</t>
  </si>
  <si>
    <t xml:space="preserve">T16</t>
  </si>
  <si>
    <t xml:space="preserve">Control de PS4 / Xbox con New Input System y vibración</t>
  </si>
  <si>
    <t xml:space="preserve">T17</t>
  </si>
  <si>
    <t xml:space="preserve">Música (9 pistas) y efectos de sonido</t>
  </si>
  <si>
    <t xml:space="preserve">T18</t>
  </si>
  <si>
    <t xml:space="preserve">Voces de los personajes y quejidos de Lira</t>
  </si>
  <si>
    <t xml:space="preserve">T19</t>
  </si>
  <si>
    <t xml:space="preserve">Agacharse, animación de piernas, sombra y pasos</t>
  </si>
  <si>
    <t xml:space="preserve">T20</t>
  </si>
  <si>
    <t xml:space="preserve">Niveles más grandes: salas secretas, Páginas Perdidas, vasijas y cofres</t>
  </si>
  <si>
    <t xml:space="preserve">T21</t>
  </si>
  <si>
    <t xml:space="preserve">Modo Archimaga con teclado y control</t>
  </si>
  <si>
    <t xml:space="preserve">T22</t>
  </si>
  <si>
    <t xml:space="preserve">Coloso de Raíz, Gárgola de Runa y espíritus de los guardianes</t>
  </si>
  <si>
    <t xml:space="preserve">T23</t>
  </si>
  <si>
    <t xml:space="preserve">Apuntar en cualquier dirección y combo rápido</t>
  </si>
  <si>
    <t xml:space="preserve">T24</t>
  </si>
  <si>
    <t xml:space="preserve">Armas de los enemigos (ArmaEnemigo.cs)</t>
  </si>
  <si>
    <t xml:space="preserve">T25</t>
  </si>
  <si>
    <t xml:space="preserve">Pantalla de Opciones (OpcionesUI.cs)</t>
  </si>
  <si>
    <t xml:space="preserve">T26</t>
  </si>
  <si>
    <t xml:space="preserve">Pantalla de resultados al terminar cada ala</t>
  </si>
  <si>
    <t xml:space="preserve">T27</t>
  </si>
  <si>
    <t xml:space="preserve">Habilidades 2.11 y acertijos: zarzas, hielo, cajas, placas y puertas</t>
  </si>
  <si>
    <t xml:space="preserve">T28</t>
  </si>
  <si>
    <t xml:space="preserve">Epílogo y créditos</t>
  </si>
  <si>
    <t xml:space="preserve">T29</t>
  </si>
  <si>
    <t xml:space="preserve">Corregir el final del juego al derrotar a Elenora (B-012)</t>
  </si>
  <si>
    <t xml:space="preserve">T30</t>
  </si>
  <si>
    <t xml:space="preserve">Capturas con F12 y compilación del .exe desde el menú</t>
  </si>
  <si>
    <t xml:space="preserve">T31</t>
  </si>
  <si>
    <t xml:space="preserve">Actualizar el libro de producción con el Sprint 2</t>
  </si>
  <si>
    <t xml:space="preserve">T32</t>
  </si>
  <si>
    <t xml:space="preserve">Pruebas Alfa de las cinco alas (las pendientes se repasan al practicar la demostración)</t>
  </si>
  <si>
    <t xml:space="preserve">T33</t>
  </si>
  <si>
    <t xml:space="preserve">Generar el .exe y probarlo en otra computadora</t>
  </si>
  <si>
    <t xml:space="preserve">T34</t>
  </si>
  <si>
    <t xml:space="preserve">Documento del Producto 2 en Word y PDF con capturas</t>
  </si>
  <si>
    <t xml:space="preserve">T35</t>
  </si>
  <si>
    <t xml:space="preserve">Sprint Review del Sprint 2</t>
  </si>
  <si>
    <t xml:space="preserve">T36</t>
  </si>
  <si>
    <t xml:space="preserve">Corregir el acertijo de la caja del Ala de Viento (B-014)</t>
  </si>
  <si>
    <t xml:space="preserve">T37</t>
  </si>
  <si>
    <t xml:space="preserve">Corregir a Lira flotando sobre el suelo (B-015)</t>
  </si>
  <si>
    <t xml:space="preserve">T38</t>
  </si>
  <si>
    <t xml:space="preserve">Controles de teclado para laptop (J K L, W para apuntar)</t>
  </si>
  <si>
    <t xml:space="preserve">T39</t>
  </si>
  <si>
    <t xml:space="preserve">Manual del jugador en PDF</t>
  </si>
  <si>
    <t xml:space="preserve">T40</t>
  </si>
  <si>
    <t xml:space="preserve">Ayuda para apuntar: el hechizo sigue al enemigo más cercano a la mira (opción en Opciones)</t>
  </si>
  <si>
    <t xml:space="preserve">T41</t>
  </si>
  <si>
    <t xml:space="preserve">Aves de Tormenta: aviso antes de la picada, descanso después y menos empuje (B-016)</t>
  </si>
  <si>
    <t xml:space="preserve">T42</t>
  </si>
  <si>
    <t xml:space="preserve">Giro de Lira hacia donde camina con animación (B-017)</t>
  </si>
  <si>
    <t xml:space="preserve">T43</t>
  </si>
  <si>
    <t xml:space="preserve">Sentido arcano: chispas, tintineo y aviso cerca de secretos (B-018)</t>
  </si>
  <si>
    <t xml:space="preserve">T44</t>
  </si>
  <si>
    <t xml:space="preserve">12 efectos de sonido nuevos (lanzar, sin maná, quejido, graznido, caídas, latido, etc.)</t>
  </si>
  <si>
    <t xml:space="preserve">T45</t>
  </si>
  <si>
    <t xml:space="preserve">Saltar nivel: opción en la pausa y mantener N o L3 + R3</t>
  </si>
  <si>
    <t xml:space="preserve">T46</t>
  </si>
  <si>
    <t xml:space="preserve">Compilar la versión 1.0 del .exe y actualizar el manual</t>
  </si>
  <si>
    <t xml:space="preserve">T47</t>
  </si>
  <si>
    <t xml:space="preserve">Fondos con más capas en cada ala (niebla, rayos de luz, estandartes, aves, aurora, libros y velas)</t>
  </si>
  <si>
    <t xml:space="preserve">T48</t>
  </si>
  <si>
    <t xml:space="preserve">Guía para explicar cómo hice el juego y .exe con los fondos nuevos</t>
  </si>
  <si>
    <t xml:space="preserve">T49</t>
  </si>
  <si>
    <t xml:space="preserve">Versión web para celular: botones táctiles, plantilla PWA y publicación en GitHub Pages</t>
  </si>
  <si>
    <t xml:space="preserve">T50</t>
  </si>
  <si>
    <t xml:space="preserve">Ajustes después de probarlo en mi celular: botones más grandes, menú en pantallas anchas y truco táctil de dos botones</t>
  </si>
  <si>
    <t xml:space="preserve">T51</t>
  </si>
  <si>
    <t xml:space="preserve">Unir todos los sprints en un solo libro de producción</t>
  </si>
  <si>
    <t xml:space="preserve">T52</t>
  </si>
  <si>
    <t xml:space="preserve">Preparar y practicar la demostración para la Evaluación Beta (recorrido por las cinco alas con el .exe)</t>
  </si>
  <si>
    <t xml:space="preserve">T53</t>
  </si>
  <si>
    <t xml:space="preserve">Evaluación Beta en clase el miércoles 28 de octubre: demostración jugando frente al profe y al grupo (rúbrica de 8 criterios)</t>
  </si>
  <si>
    <t xml:space="preserve">T54</t>
  </si>
  <si>
    <t xml:space="preserve">Preparar el .exe 1.0, el formato de Pruebas Beta y la carpeta para compartir</t>
  </si>
  <si>
    <t xml:space="preserve">T55</t>
  </si>
  <si>
    <t xml:space="preserve">Diagrama de Gantt del proyecto completo</t>
  </si>
  <si>
    <t xml:space="preserve">T56</t>
  </si>
  <si>
    <t xml:space="preserve">Borrador del Postmortem con lo que se sabe hasta ahora</t>
  </si>
  <si>
    <t xml:space="preserve">T57</t>
  </si>
  <si>
    <t xml:space="preserve">Registrar en el libro los puntos y comentarios de la Evaluación Beta</t>
  </si>
  <si>
    <t xml:space="preserve">T58</t>
  </si>
  <si>
    <t xml:space="preserve">Pasar al Buglist lo que salga en la Evaluación Beta y darle severidad</t>
  </si>
  <si>
    <t xml:space="preserve">T59</t>
  </si>
  <si>
    <t xml:space="preserve">Corregir lo que salga en la Evaluación Beta (severidad Alta y Media)</t>
  </si>
  <si>
    <t xml:space="preserve">T60</t>
  </si>
  <si>
    <t xml:space="preserve">Balance de dificultad (vida y daño de enemigos y guardianes) según los comentarios</t>
  </si>
  <si>
    <t xml:space="preserve">T61</t>
  </si>
  <si>
    <t xml:space="preserve">Probar las cinco alas después de las correcciones</t>
  </si>
  <si>
    <t xml:space="preserve">T62</t>
  </si>
  <si>
    <t xml:space="preserve">Compilar la versión corregida (.exe y web)</t>
  </si>
  <si>
    <t xml:space="preserve">T63</t>
  </si>
  <si>
    <t xml:space="preserve">Actualizar el manual, la guía y el documento del Producto 3</t>
  </si>
  <si>
    <t xml:space="preserve">T64</t>
  </si>
  <si>
    <t xml:space="preserve">Completar el Postmortem con los resultados de la Evaluación Beta</t>
  </si>
  <si>
    <t xml:space="preserve">T65</t>
  </si>
  <si>
    <t xml:space="preserve">Sprint Review del Sprint 3</t>
  </si>
  <si>
    <t xml:space="preserve">T66</t>
  </si>
  <si>
    <t xml:space="preserve">Compilar la versión final: .exe y versión web</t>
  </si>
  <si>
    <t xml:space="preserve">T67</t>
  </si>
  <si>
    <t xml:space="preserve">Probar la versión final en otra computadora y en celular</t>
  </si>
  <si>
    <t xml:space="preserve">T68</t>
  </si>
  <si>
    <t xml:space="preserve">Corregir los últimos detalles de la versión final</t>
  </si>
  <si>
    <t xml:space="preserve">T69</t>
  </si>
  <si>
    <t xml:space="preserve">Actualizar el manual, la guía y la bitácora con la versión final</t>
  </si>
  <si>
    <t xml:space="preserve">T70</t>
  </si>
  <si>
    <t xml:space="preserve">Postmortem final con los resultados de todos los sprints</t>
  </si>
  <si>
    <t xml:space="preserve">T71</t>
  </si>
  <si>
    <t xml:space="preserve">Preparar la memoria de entrega: .exe, documento del Producto 1 y código fuente comprimido</t>
  </si>
  <si>
    <t xml:space="preserve">T72</t>
  </si>
  <si>
    <t xml:space="preserve">Sprint Review del Sprint 4 y entrega final</t>
  </si>
  <si>
    <t xml:space="preserve">Horas</t>
  </si>
  <si>
    <t xml:space="preserve">Horas terminadas</t>
  </si>
  <si>
    <t xml:space="preserve">Avance</t>
  </si>
  <si>
    <t xml:space="preserve">DAILY HUDDLE - TODOS LOS SPRINTS</t>
  </si>
  <si>
    <t xml:space="preserve">Nota: registro por sesión de trabajo (proyecto individual). Las filas sin contenido corresponden a sesiones planificadas.</t>
  </si>
  <si>
    <t xml:space="preserve">Fecha</t>
  </si>
  <si>
    <t xml:space="preserve">¿Qué hice desde el último Huddle?</t>
  </si>
  <si>
    <t xml:space="preserve">¿Qué haré hoy?</t>
  </si>
  <si>
    <t xml:space="preserve">Impedimentos</t>
  </si>
  <si>
    <t xml:space="preserve">Sprint Huddle de arranque: cierre del Sprint 1 y revisión del Feature Log.</t>
  </si>
  <si>
    <t xml:space="preserve">Ordenar el arte y empezar a importarlo a Unity.</t>
  </si>
  <si>
    <t xml:space="preserve">Primera vez armando un proyecto completo en Unity 6.</t>
  </si>
  <si>
    <t xml:space="preserve">Sprites ordenados; 15 enemigos y jefes y 12 ítems importados.</t>
  </si>
  <si>
    <t xml:space="preserve">Código base: ScriptableObjects, PlayerController, Health, SpellCaster, EnemyBase y GameManager.</t>
  </si>
  <si>
    <t xml:space="preserve">Muchos sprites con nombres distintos al GDD; se renombraron.</t>
  </si>
  <si>
    <t xml:space="preserve">Código base y Nivel 1 armado con herramienta de editor.</t>
  </si>
  <si>
    <t xml:space="preserve">Generar el juego completo (5 alas, jefes, logros, créditos) y probarlo en Unity.</t>
  </si>
  <si>
    <t xml:space="preserve">El escenario se veía plano y las barras del HUD no cargaban su imagen (B-001).</t>
  </si>
  <si>
    <t xml:space="preserve">Versión 2 con control de PS4, luces 2D y nueva interfaz; historia dentro del juego.</t>
  </si>
  <si>
    <t xml:space="preserve">Música, voces, agacharse, niveles más grandes, Opciones, resultados, habilidades 2.11 y acertijos.</t>
  </si>
  <si>
    <t xml:space="preserve">Sin sonido (B-003), textos fuera del marco (B-004), final repetido (B-006), portal del Nivel 1 atorado (B-011).</t>
  </si>
  <si>
    <t xml:space="preserve">Opciones, resultados, habilidades y nueva fuente subidos al repositorio.</t>
  </si>
  <si>
    <t xml:space="preserve">Corregir el final de Elenora, agregar capturas y compilación del .exe, actualizar producción.</t>
  </si>
  <si>
    <t xml:space="preserve">El final no terminaba al vencer a Elenora (B-012); el panel de depuración se abría con L3 + R3 (B-013); no se abría el pasadizo del Ala de Viento (B-014).</t>
  </si>
  <si>
    <t xml:space="preserve">Producto 2 completo y probado el final del juego.</t>
  </si>
  <si>
    <t xml:space="preserve">Corregir a Lira flotando, controles de teclado para laptop, manual del jugador y generar el .exe.</t>
  </si>
  <si>
    <t xml:space="preserve">En la revisión de avance en clase se vio que Lira flota sobre el suelo (B-015).</t>
  </si>
  <si>
    <t xml:space="preserve">Primer .exe, manual y controles para laptop. Jugué el Ala de Viento con el control de PS4.</t>
  </si>
  <si>
    <t xml:space="preserve">Ayuda para apuntar, aves con aviso, giro de Lira, sentido arcano y sonidos nuevos.</t>
  </si>
  <si>
    <t xml:space="preserve">Las aves son difíciles de atinar y empujan a Lira al vacío (B-016); Lira no se voltea bien (B-017); no se encuentran los secretos (B-018). Unity se quedaba cargando al abrir el proyecto (se resolvió cerrando procesos).</t>
  </si>
  <si>
    <t xml:space="preserve">Mejoras del 15 de octubre probadas; en la revisión en clase el juego gustó.</t>
  </si>
  <si>
    <t xml:space="preserve">Saltar nivel para la presentación, versión 1.0 del .exe, manual actualizado y preparar el Sprint 3.</t>
  </si>
  <si>
    <t xml:space="preserve">Ninguno.</t>
  </si>
  <si>
    <t xml:space="preserve">Saltar nivel, versión 1.0 del .exe y documentos del Sprint 3.</t>
  </si>
  <si>
    <t xml:space="preserve">Darle más vida a los fondos de cada ala, compilar el .exe con los fondos nuevos y preparar mis notas para explicar el juego.</t>
  </si>
  <si>
    <t xml:space="preserve">La primera compilación falló por falta de memoria; se volvió a compilar.</t>
  </si>
  <si>
    <t xml:space="preserve">Fondos nuevos en las cinco alas, .exe compilado otra vez y guía para explicar el juego.</t>
  </si>
  <si>
    <t xml:space="preserve">Versión para celular que pidió el profe: botones táctiles, versión web que se instala como app y publicarla en GitHub Pages.</t>
  </si>
  <si>
    <t xml:space="preserve">La primera compilación para web tarda porque Unity reimporta todo al cambiar de plataforma.</t>
  </si>
  <si>
    <t xml:space="preserve">Versión web publicada en GitHub Pages y ajustada después de probarla en mi celular; todos los sprints en un solo libro de producción.</t>
  </si>
  <si>
    <t xml:space="preserve">Revisar el libro de producción completo, planear el Sprint 4 y revisar la rúbrica del profe para las pruebas.</t>
  </si>
  <si>
    <t xml:space="preserve">PROJECT CHART - Estado general del proyecto</t>
  </si>
  <si>
    <t xml:space="preserve">Nota: fuente, columna Estado del Feature Log.</t>
  </si>
  <si>
    <t xml:space="preserve">Features</t>
  </si>
  <si>
    <t xml:space="preserve">Porcentaje</t>
  </si>
  <si>
    <t xml:space="preserve">Sin planear</t>
  </si>
  <si>
    <t xml:space="preserve">BURN-DOWN CHART - TODOS LOS SPRINTS</t>
  </si>
  <si>
    <t xml:space="preserve">Nota: Sprint 1 en tareas restantes (datos del Producto 1). Sprints 2–4 en horas restantes, calculadas desde el Sprint Backlog (Estado = Terminado y Fin ≤ fecha de corte). Las fechas posteriores al día actual no se grafican.</t>
  </si>
  <si>
    <t xml:space="preserve">Sprint 1 (1 - 18 sep)</t>
  </si>
  <si>
    <t xml:space="preserve">Ideal (tareas)</t>
  </si>
  <si>
    <t xml:space="preserve">Real (tareas)</t>
  </si>
  <si>
    <t xml:space="preserve">Sprint 2 (19 sep - 30 oct)</t>
  </si>
  <si>
    <t xml:space="preserve">Ideal (hrs)</t>
  </si>
  <si>
    <t xml:space="preserve">Real (hrs)</t>
  </si>
  <si>
    <t xml:space="preserve">Tareas restantes</t>
  </si>
  <si>
    <t xml:space="preserve">Sprint 3 (31 oct - 20 nov)</t>
  </si>
  <si>
    <t xml:space="preserve">Sprint 4 (21 - 30 nov)</t>
  </si>
  <si>
    <t xml:space="preserve">TASK CHART - TODOS LOS SPRINTS</t>
  </si>
  <si>
    <t xml:space="preserve">Nota: Sprint 1 con datos del Producto 1; Sprints 2–4 calculados desde la hoja Burn-down Chart.</t>
  </si>
  <si>
    <t xml:space="preserve">En progreso</t>
  </si>
  <si>
    <t xml:space="preserve">BUGLIST - TODOS LOS SPRINTS</t>
  </si>
  <si>
    <t xml:space="preserve">Nota: campos según la plantilla Huddle (GDD 3.6). Origen: Sprint 1, revisión de arte; Sprint 2, pruebas Alfa (B-001–B-018); Sprint 3, hallazgos de la Evaluación Beta. Severidad: Alta / Media / Baja.</t>
  </si>
  <si>
    <t xml:space="preserve">BugID</t>
  </si>
  <si>
    <t xml:space="preserve">Descripción</t>
  </si>
  <si>
    <t xml:space="preserve">Descripción técnica</t>
  </si>
  <si>
    <t xml:space="preserve">Autor</t>
  </si>
  <si>
    <t xml:space="preserve">Reportado</t>
  </si>
  <si>
    <t xml:space="preserve">Severidad</t>
  </si>
  <si>
    <t xml:space="preserve">S1-B1</t>
  </si>
  <si>
    <t xml:space="preserve">Algunos enemigos del arte conceptual tienen un estilo distinto al resto.</t>
  </si>
  <si>
    <t xml:space="preserve">Se revisó al importar el arte; algunos quedaron más detallados que otros (lo menciono en el Postmortem).</t>
  </si>
  <si>
    <t xml:space="preserve">Por verificar</t>
  </si>
  <si>
    <t xml:space="preserve">Media</t>
  </si>
  <si>
    <t xml:space="preserve">S1-B2</t>
  </si>
  <si>
    <t xml:space="preserve">Había que ajustar las proporciones de algunas imágenes.</t>
  </si>
  <si>
    <t xml:space="preserve">Se recortaron y se renombraron al importarlas (T01); el espacio transparente de Lira se corrigió en B-015.</t>
  </si>
  <si>
    <t xml:space="preserve">Corregido</t>
  </si>
  <si>
    <t xml:space="preserve">Baja</t>
  </si>
  <si>
    <t xml:space="preserve">S1-B3</t>
  </si>
  <si>
    <t xml:space="preserve">Los marcos de la UI necesitaban rediseño para verse iguales.</t>
  </si>
  <si>
    <t xml:space="preserve">Se cambiaron por paneles 9-slice (B-004).</t>
  </si>
  <si>
    <t xml:space="preserve">B-001</t>
  </si>
  <si>
    <t xml:space="preserve">El escenario se veía plano y las barras del HUD no mostraban su imagen.</t>
  </si>
  <si>
    <t xml:space="preserve">Los sprites de la UI no estaban asignados en el prefab del HUD y los fondos no tenían capas.</t>
  </si>
  <si>
    <t xml:space="preserve">B-002</t>
  </si>
  <si>
    <t xml:space="preserve">Faltaban imágenes de la interfaz y las columnas del fondo.</t>
  </si>
  <si>
    <t xml:space="preserve">Nombres de archivo distintos entre la carpeta Sprites y las rutas de CrearJuego.cs.</t>
  </si>
  <si>
    <t xml:space="preserve">B-003</t>
  </si>
  <si>
    <t xml:space="preserve">No se escuchaba la música ni los efectos.</t>
  </si>
  <si>
    <t xml:space="preserve">Ninguna cámara tenía AudioListener. El AudioManager ahora agrega el suyo y quita los de las cámaras.</t>
  </si>
  <si>
    <t xml:space="preserve">Alta</t>
  </si>
  <si>
    <t xml:space="preserve">B-004</t>
  </si>
  <si>
    <t xml:space="preserve">Los textos de Controles y Logros se salían del marco.</t>
  </si>
  <si>
    <t xml:space="preserve">El marco ornamentado se estiraba como imagen simple; se cambió por un panel 9-slice (PanelUI).</t>
  </si>
  <si>
    <t xml:space="preserve">B-005</t>
  </si>
  <si>
    <t xml:space="preserve">El retrato de Lira en el HUD se veía mal dentro del marco.</t>
  </si>
  <si>
    <t xml:space="preserve">El sprite completo se mostraba encima del marco; se agregó una máscara circular.</t>
  </si>
  <si>
    <t xml:space="preserve">B-006</t>
  </si>
  <si>
    <t xml:space="preserve">Al vencer a Elenora se repetía la batalla final y no salían los créditos.</t>
  </si>
  <si>
    <t xml:space="preserve">"Continuar" guardaba el Nivel 5 y no había transición al epílogo; se agregó FinishGame().</t>
  </si>
  <si>
    <t xml:space="preserve">B-007</t>
  </si>
  <si>
    <t xml:space="preserve">Los créditos tardaban unos 15 segundos en aparecer.</t>
  </si>
  <si>
    <t xml:space="preserve">El texto empezaba en y = -900, fuera de la pantalla; ahora empieza visible.</t>
  </si>
  <si>
    <t xml:space="preserve">B-008</t>
  </si>
  <si>
    <t xml:space="preserve">El Modo Archimaga a veces no se activaba.</t>
  </si>
  <si>
    <t xml:space="preserve">Cualquier otra tecla reiniciaba la secuencia; ahora solo cuentan las teclas del código.</t>
  </si>
  <si>
    <t xml:space="preserve">B-009</t>
  </si>
  <si>
    <t xml:space="preserve">Las voces de los personajes sonaban raras y fuertes.</t>
  </si>
  <si>
    <t xml:space="preserve">Síntesis con demasiada aspereza; se suavizó y se bajó el volumen.</t>
  </si>
  <si>
    <t xml:space="preserve">B-010</t>
  </si>
  <si>
    <t xml:space="preserve">No se veían las armas de los enemigos.</t>
  </si>
  <si>
    <t xml:space="preserve">Los prefabs no tenían el sprite del arma; se creó ArmaEnemigo.cs.</t>
  </si>
  <si>
    <t xml:space="preserve">B-011</t>
  </si>
  <si>
    <t xml:space="preserve">El juego se quedaba atorado en el portal del Nivel 1 sin mostrar resultados.</t>
  </si>
  <si>
    <t xml:space="preserve">Un error en un evento de LevelCompleted cortaba CompleteLevel antes de ShowResults; se protegió con try/catch y Enter/X continúa.</t>
  </si>
  <si>
    <t xml:space="preserve">B-012</t>
  </si>
  <si>
    <t xml:space="preserve">Al vencer a Elenora no terminaba el juego.</t>
  </si>
  <si>
    <t xml:space="preserve">La secuencia final dependía de que todos los eventos terminaran sin error; ahora hay un respaldo que termina el juego siempre.</t>
  </si>
  <si>
    <t xml:space="preserve">B-013</t>
  </si>
  <si>
    <t xml:space="preserve">Se abría un panel de estadísticas de Unity al apretar los dos sticks.</t>
  </si>
  <si>
    <t xml:space="preserve">Rendering Debugger de URP activo en tiempo de juego (L3 + R3); se desactiva en CapturaPantalla.cs.</t>
  </si>
  <si>
    <t xml:space="preserve">B-014</t>
  </si>
  <si>
    <t xml:space="preserve">No se podía abrir el pasadizo de la Página Perdida del Ala de Viento.</t>
  </si>
  <si>
    <t xml:space="preserve">La caja estaba casi en la orilla del suelo y podía caer al vacío; las puertas rúnicas no explicaban cómo abrirse. Se dio más espacio, la caja regresa a su lugar si se cae y las puertas dan una pista.</t>
  </si>
  <si>
    <t xml:space="preserve">B-015</t>
  </si>
  <si>
    <t xml:space="preserve">Lira a veces flota sobre el suelo y las plataformas (se vio en la revisión de avance en clase).</t>
  </si>
  <si>
    <t xml:space="preserve">La imagen de Lira tiene 17% de espacio transparente bajo los pies y el collider se calculaba con la imagen completa. Ahora EditorHelpers.MargenesTransparentes() lee el PNG y ajusta el collider y el GroundCheck a los pies reales.</t>
  </si>
  <si>
    <t xml:space="preserve">B-016</t>
  </si>
  <si>
    <t xml:space="preserve">En el Ala de Viento es difícil atinarle a las Aves de Tormenta y empujan a Lira al vacío.</t>
  </si>
  <si>
    <t xml:space="preserve">Se mueven con ruido de Perlin y se lanzan sin aviso. Ahora tiemblan y graznan 0.55 s antes de la picada, descansan 0.8 s después y empujan con fuerza 5 en vez de 9. Además se agregó la ayuda para apuntar (SpellCaster.BuscarObjetivo + SpellProjectile.Seguir).</t>
  </si>
  <si>
    <t xml:space="preserve">B-017</t>
  </si>
  <si>
    <t xml:space="preserve">Al caminar hacia atrás Lira no parece voltearse.</t>
  </si>
  <si>
    <t xml:space="preserve">El dibujo original mira un poco a la izquierda y el código volteaba el sprite como si mirara a la derecha. Campo arteMiraALaDerecha en PlayerController y giro animado.</t>
  </si>
  <si>
    <t xml:space="preserve">B-018</t>
  </si>
  <si>
    <t xml:space="preserve">No se sabe dónde están las Páginas Perdidas ni los secretos.</t>
  </si>
  <si>
    <t xml:space="preserve">No había ninguna pista cerca de ellos. SentidoArcano.cs muestra chispas, un tintineo y un aviso a menos de 7 unidades.</t>
  </si>
  <si>
    <t xml:space="preserve">B-019</t>
  </si>
  <si>
    <t xml:space="preserve">B-020</t>
  </si>
  <si>
    <t xml:space="preserve">B-021</t>
  </si>
  <si>
    <t xml:space="preserve">B-022</t>
  </si>
  <si>
    <t xml:space="preserve">B-023</t>
  </si>
  <si>
    <t xml:space="preserve">B-024</t>
  </si>
  <si>
    <t xml:space="preserve">B-025</t>
  </si>
  <si>
    <t xml:space="preserve">B-026</t>
  </si>
  <si>
    <t xml:space="preserve">B-027</t>
  </si>
  <si>
    <t xml:space="preserve">B-028</t>
  </si>
  <si>
    <t xml:space="preserve">B-029</t>
  </si>
  <si>
    <t xml:space="preserve">B-030</t>
  </si>
  <si>
    <t xml:space="preserve">B-031</t>
  </si>
  <si>
    <t xml:space="preserve">B-032</t>
  </si>
  <si>
    <t xml:space="preserve">B-033</t>
  </si>
  <si>
    <t xml:space="preserve">Corregidos:</t>
  </si>
  <si>
    <t xml:space="preserve">PRUEBAS ALFA - SPRINT 2</t>
  </si>
  <si>
    <t xml:space="preserve">Nota: pruebas internas por versión (fase de Producción). Las fallas se registran en el Buglist con su BugID.</t>
  </si>
  <si>
    <t xml:space="preserve">ID</t>
  </si>
  <si>
    <t xml:space="preserve">Caso de prueba</t>
  </si>
  <si>
    <t xml:space="preserve">Pasos</t>
  </si>
  <si>
    <t xml:space="preserve">Resultado esperado</t>
  </si>
  <si>
    <t xml:space="preserve">Resultado obtenido</t>
  </si>
  <si>
    <t xml:space="preserve">PA-01</t>
  </si>
  <si>
    <t xml:space="preserve">Costo de maná y recarga de cada hechizo</t>
  </si>
  <si>
    <t xml:space="preserve">Lanzar el mismo hechizo varias veces seguidas.</t>
  </si>
  <si>
    <t xml:space="preserve">No se lanza sin maná suficiente ni antes de que termine la recarga.</t>
  </si>
  <si>
    <t xml:space="preserve">Se respeta el costo y la recarga.</t>
  </si>
  <si>
    <t xml:space="preserve">Aprobada</t>
  </si>
  <si>
    <t xml:space="preserve">PA-02</t>
  </si>
  <si>
    <t xml:space="preserve">Los hechizos solo dañan lo que tiene IDamageable</t>
  </si>
  <si>
    <t xml:space="preserve">Disparar a paredes, plataformas y enemigos.</t>
  </si>
  <si>
    <t xml:space="preserve">Solo los enemigos y objetos rompibles reciben daño.</t>
  </si>
  <si>
    <t xml:space="preserve">Correcto.</t>
  </si>
  <si>
    <t xml:space="preserve">PA-03</t>
  </si>
  <si>
    <t xml:space="preserve">IA cambia entre patrulla y persecución</t>
  </si>
  <si>
    <t xml:space="preserve">Acercarse y alejarse de un Espectro de tinta.</t>
  </si>
  <si>
    <t xml:space="preserve">Patrulla lejos de Lira y la persigue dentro de su rango.</t>
  </si>
  <si>
    <t xml:space="preserve">PA-04</t>
  </si>
  <si>
    <t xml:space="preserve">Control de PS4 por Bluetooth</t>
  </si>
  <si>
    <t xml:space="preserve">Jugar el Nivel 1 completo solo con el control.</t>
  </si>
  <si>
    <t xml:space="preserve">Todas las acciones responden y el control vibra al recibir daño.</t>
  </si>
  <si>
    <t xml:space="preserve">PA-05</t>
  </si>
  <si>
    <t xml:space="preserve">Música y efectos al iniciar</t>
  </si>
  <si>
    <t xml:space="preserve">Abrir el juego desde el menú principal.</t>
  </si>
  <si>
    <t xml:space="preserve">Se escucha la música del menú y los sonidos de los botones.</t>
  </si>
  <si>
    <t xml:space="preserve">Sin sonido (B-003). Corregido.</t>
  </si>
  <si>
    <t xml:space="preserve">PA-06</t>
  </si>
  <si>
    <t xml:space="preserve">Cambio de nivel con pantalla de resultados</t>
  </si>
  <si>
    <t xml:space="preserve">Terminar el Nivel 1 y entrar al portal.</t>
  </si>
  <si>
    <t xml:space="preserve">Aparece la pantalla de resultados y luego carga el Nivel 2.</t>
  </si>
  <si>
    <t xml:space="preserve">Se quedaba atorado (B-011). Corregido.</t>
  </si>
  <si>
    <t xml:space="preserve">PA-07</t>
  </si>
  <si>
    <t xml:space="preserve">Modo Archimaga</t>
  </si>
  <si>
    <t xml:space="preserve">Escribir F, H, V, A y Enter; con control L1 + R1 + Triángulo.</t>
  </si>
  <si>
    <t xml:space="preserve">Aparece el aviso y Lira no gasta maná ni recibe daño.</t>
  </si>
  <si>
    <t xml:space="preserve">Fallaba a veces (B-008). Corregido.</t>
  </si>
  <si>
    <t xml:space="preserve">PA-08</t>
  </si>
  <si>
    <t xml:space="preserve">Pantalla de Opciones</t>
  </si>
  <si>
    <t xml:space="preserve">Cambiar volúmenes, pantalla completa y vibración; salir y volver a entrar.</t>
  </si>
  <si>
    <t xml:space="preserve">Los cambios se aplican y se guardan.</t>
  </si>
  <si>
    <t xml:space="preserve">Funciona en el editor.</t>
  </si>
  <si>
    <t xml:space="preserve">PA-09</t>
  </si>
  <si>
    <t xml:space="preserve">Fuego quema las zarzas</t>
  </si>
  <si>
    <t xml:space="preserve">Lanzar Arcano y luego Fuego a las zarzas del Ala de Fuego.</t>
  </si>
  <si>
    <t xml:space="preserve">Solo el Fuego las quema y se abre el pasadizo.</t>
  </si>
  <si>
    <t xml:space="preserve">Pendiente</t>
  </si>
  <si>
    <t xml:space="preserve">PA-10</t>
  </si>
  <si>
    <t xml:space="preserve">Hielo congela al tercer golpe</t>
  </si>
  <si>
    <t xml:space="preserve">Pegarle tres veces seguidas con Hielo a un enemigo.</t>
  </si>
  <si>
    <t xml:space="preserve">El enemigo se pinta de azul y no se mueve por 2.5 s.</t>
  </si>
  <si>
    <t xml:space="preserve">PA-11</t>
  </si>
  <si>
    <t xml:space="preserve">Viento: planear y empujar la caja</t>
  </si>
  <si>
    <t xml:space="preserve">Mantener saltar al caer; empujar la caja del Ala de Viento hasta la placa.</t>
  </si>
  <si>
    <t xml:space="preserve">Lira cae lento; la caja abre la puerta rúnica.</t>
  </si>
  <si>
    <t xml:space="preserve">No se podía abrir (B-014). Corregido, falta probar.</t>
  </si>
  <si>
    <t xml:space="preserve">PA-12</t>
  </si>
  <si>
    <t xml:space="preserve">Final del juego</t>
  </si>
  <si>
    <t xml:space="preserve">Derrotar al Eco de Elenora y leer su diálogo.</t>
  </si>
  <si>
    <t xml:space="preserve">¡VICTORIA!, epílogo y créditos; al final regresa al menú.</t>
  </si>
  <si>
    <t xml:space="preserve">No terminaba (B-012). Corregido: sale ¡VICTORIA!, epílogo y créditos.</t>
  </si>
  <si>
    <t xml:space="preserve">PA-13</t>
  </si>
  <si>
    <t xml:space="preserve">Páginas Perdidas y salas secretas</t>
  </si>
  <si>
    <t xml:space="preserve">Recoger las 3 páginas del Nivel 1 y romper un muro agrietado.</t>
  </si>
  <si>
    <t xml:space="preserve">Cada página da +5 de vida máxima; el muro revela la sala.</t>
  </si>
  <si>
    <t xml:space="preserve">PA-14</t>
  </si>
  <si>
    <t xml:space="preserve">Build .exe</t>
  </si>
  <si>
    <t xml:space="preserve">Compilar con el menú Ecos del Grimorio y abrir el .exe.</t>
  </si>
  <si>
    <t xml:space="preserve">El juego abre en pantalla completa y se puede jugar de inicio a fin.</t>
  </si>
  <si>
    <t xml:space="preserve">Compila sin errores (150 MB). Falta probarlo en otra computadora.</t>
  </si>
  <si>
    <t xml:space="preserve">PA-15</t>
  </si>
  <si>
    <t xml:space="preserve">Lira pisa el suelo</t>
  </si>
  <si>
    <t xml:space="preserve">Caminar y detenerse sobre el suelo y las plataformas de cada ala.</t>
  </si>
  <si>
    <t xml:space="preserve">Los pies de Lira tocan la superficie, sin espacio.</t>
  </si>
  <si>
    <t xml:space="preserve">Flotaba (B-015). Corregido.</t>
  </si>
  <si>
    <t xml:space="preserve">PA-16</t>
  </si>
  <si>
    <t xml:space="preserve">Saltar nivel</t>
  </si>
  <si>
    <t xml:space="preserve">En cada ala mantener N (o L3 + R3) 1.5 s, y probar Pausa &gt; Saltar nivel.</t>
  </si>
  <si>
    <t xml:space="preserve">Pasa a la siguiente ala con el hechizo que tocaba; en el Corazón pasa al final. No da logros.</t>
  </si>
  <si>
    <t xml:space="preserve">PA-17</t>
  </si>
  <si>
    <t xml:space="preserve">Ayuda para apuntar</t>
  </si>
  <si>
    <t xml:space="preserve">Disparar a las Aves de Tormenta con y sin la opción activada.</t>
  </si>
  <si>
    <t xml:space="preserve">Con la opción, el hechizo sigue al ave; sin ella, va en línea recta.</t>
  </si>
  <si>
    <t xml:space="preserve">Aprobadas:</t>
  </si>
  <si>
    <t xml:space="preserve">EVALUACIÓN BETA - MATRIZ DE CUMPLIMIENTO</t>
  </si>
  <si>
    <t xml:space="preserve">Nota: rúbrica del docente, 8 criterios de 10 puntos. Evidencia verificable en la versión 1.0. Modalidad: demostración en clase, 28/10/2026. El puntaje se registra al concluir la evaluación.</t>
  </si>
  <si>
    <t xml:space="preserve">Criterio</t>
  </si>
  <si>
    <t xml:space="preserve">Requisito (10 pts)</t>
  </si>
  <si>
    <t xml:space="preserve">Evidencia</t>
  </si>
  <si>
    <t xml:space="preserve">Referencia</t>
  </si>
  <si>
    <t xml:space="preserve">Máx.</t>
  </si>
  <si>
    <t xml:space="preserve">Obtenido</t>
  </si>
  <si>
    <t xml:space="preserve">Observaciones</t>
  </si>
  <si>
    <t xml:space="preserve">EB-01</t>
  </si>
  <si>
    <t xml:space="preserve">Documentación y planeación</t>
  </si>
  <si>
    <t xml:space="preserve">Documento detallado y actualizado; cronograma con seguimiento real y cumplimiento de hitos de la fase Beta.</t>
  </si>
  <si>
    <t xml:space="preserve">GDD (Producto 1), documento del Producto 2, manual del jugador y libro de producción con 4 sprints, Gantt, Burn-down y Daily Huddle.</t>
  </si>
  <si>
    <t xml:space="preserve">Documentacion/; hojas Gantt, Burn-down Chart; BITACORA.md</t>
  </si>
  <si>
    <t xml:space="preserve">EB-02</t>
  </si>
  <si>
    <t xml:space="preserve">Contenido y niveles</t>
  </si>
  <si>
    <t xml:space="preserve">Flujo completo (menú, niveles con condición de victoria y derrota) y diseño de niveles estructurado.</t>
  </si>
  <si>
    <t xml:space="preserve">Menú → prólogo → 5 alas → jefe final → epílogo → créditos. Derrota con reintento; resultados al completar cada ala; dificultad progresiva.</t>
  </si>
  <si>
    <t xml:space="preserve">Escenas MenuPrincipal, Prologo, Nivel1_* a Nivel5_*, Epilogo, Creditos; GameManager.cs</t>
  </si>
  <si>
    <t xml:space="preserve">EB-03</t>
  </si>
  <si>
    <t xml:space="preserve">Arte, audio e interfaz (UI/UX)</t>
  </si>
  <si>
    <t xml:space="preserve">Apartado visual y sonoro coherente con la propuesta; UI intuitiva y con respuesta correcta.</t>
  </si>
  <si>
    <t xml:space="preserve">Arte basado en los bocetos del GDD, parallax, iluminación 2D; 9 pistas, 41 efectos y voces; HUD, pausa y opciones con indicaciones según el dispositivo.</t>
  </si>
  <si>
    <t xml:space="preserve">Assets/Sprites, Assets/Audio; AudioManager.cs, UIManager.cs, HUD.cs, OpcionesUI.cs</t>
  </si>
  <si>
    <t xml:space="preserve">EB-04</t>
  </si>
  <si>
    <t xml:space="preserve">Respuesta de eventos (mecánica)</t>
  </si>
  <si>
    <t xml:space="preserve">La interacción de los personajes responde a los eventos según la funcionalidad del juego.</t>
  </si>
  <si>
    <t xml:space="preserve">Movimiento, salto, planeo, esquive; 4 hechizos y 4 combos; IA de patrulla y persecución; daño elemental; objetos rompibles, empujables, cofres y diálogos.</t>
  </si>
  <si>
    <t xml:space="preserve">PlayerController.cs, SpellCaster.cs, EnemyBase.cs, Health.cs, Rompible.cs, Empujable.cs</t>
  </si>
  <si>
    <t xml:space="preserve">EB-05</t>
  </si>
  <si>
    <t xml:space="preserve">Jugabilidad</t>
  </si>
  <si>
    <t xml:space="preserve">Se cumplen las acciones de la historia (inicio, desarrollo y cierre) y es posible completar el juego.</t>
  </si>
  <si>
    <t xml:space="preserve">Inicio: prólogo. Desarrollo: un hechizo y un guardián por ala. Cierre: Eco de Elenora, epílogo y créditos.</t>
  </si>
  <si>
    <t xml:space="preserve">Prologo.cs, LevelExit.cs, BossController.cs, ElenoraBoss.cs, CreditsScreen.cs</t>
  </si>
  <si>
    <t xml:space="preserve">EB-06</t>
  </si>
  <si>
    <t xml:space="preserve">Niveles</t>
  </si>
  <si>
    <t xml:space="preserve">Al menos un nivel donde se desarrolla la historia completa.</t>
  </si>
  <si>
    <t xml:space="preserve">Cinco niveles enlazados con la narrativa (Aprendizaje, Fuego, Hielo, Viento y Corazón del Grimorio), cada uno con guardián.</t>
  </si>
  <si>
    <t xml:space="preserve">CrearJuego.cs; escenas Nivel1_* a Nivel5_*</t>
  </si>
  <si>
    <t xml:space="preserve">EB-07</t>
  </si>
  <si>
    <t xml:space="preserve">Elementos gráficos</t>
  </si>
  <si>
    <t xml:space="preserve">Los elementos gráficos dan soporte al desarrollo completo de la historia.</t>
  </si>
  <si>
    <t xml:space="preserve">3 personajes, 4 guardianes, 13 tipos de enemigos, ítems, armas, fondos por ala y elementos de interfaz.</t>
  </si>
  <si>
    <t xml:space="preserve">Assets/Sprites; Arte/ (repositorio)</t>
  </si>
  <si>
    <t xml:space="preserve">EB-08</t>
  </si>
  <si>
    <t xml:space="preserve">Ejecución</t>
  </si>
  <si>
    <t xml:space="preserve">El juego se ejecuta directamente como aplicación y sin contratiempos.</t>
  </si>
  <si>
    <t xml:space="preserve">Ejecutable para Windows x64 independiente del editor; versión WebGL instalable como PWA.</t>
  </si>
  <si>
    <t xml:space="preserve">EcosDelGrimorio_v1.zip; alexap1115web.github.io/Ecos-Del-Grimorio</t>
  </si>
  <si>
    <t xml:space="preserve">PRUEBAS DE COMPATIBILIDAD</t>
  </si>
  <si>
    <t xml:space="preserve">Plataforma / build</t>
  </si>
  <si>
    <t xml:space="preserve">Dispositivo / SO</t>
  </si>
  <si>
    <t xml:space="preserve">Probador</t>
  </si>
  <si>
    <t xml:space="preserve">Resultado</t>
  </si>
  <si>
    <t xml:space="preserve">PC-01</t>
  </si>
  <si>
    <t xml:space="preserve">Web (WebGL), versión 1.0</t>
  </si>
  <si>
    <t xml:space="preserve">Smartphone Android, Chrome</t>
  </si>
  <si>
    <t xml:space="preserve">Desarrollador</t>
  </si>
  <si>
    <t xml:space="preserve">Con observaciones</t>
  </si>
  <si>
    <t xml:space="preserve">Texto inferior del menú recortado en pantalla 20:9; truco táctil de tres toques no detectado. Corregido con AjustePantalla.cs y truco Combo + Cambiar.</t>
  </si>
  <si>
    <t xml:space="preserve">PC-02</t>
  </si>
  <si>
    <t xml:space="preserve">Smartphone</t>
  </si>
  <si>
    <t xml:space="preserve">Usuario externo</t>
  </si>
  <si>
    <t xml:space="preserve">Carga y partida sin fallas.</t>
  </si>
  <si>
    <t xml:space="preserve">PC-03</t>
  </si>
  <si>
    <t xml:space="preserve">Windows (.exe), versión 1.0</t>
  </si>
  <si>
    <t xml:space="preserve">Equipo externo, Windows 10/11 x64</t>
  </si>
  <si>
    <t xml:space="preserve">PC-04</t>
  </si>
  <si>
    <t xml:space="preserve">Equipo externo, Chrome / Edge</t>
  </si>
  <si>
    <t xml:space="preserve">COHERENCIA ENTRE EL GDD Y EL BACKLOG</t>
  </si>
  <si>
    <t xml:space="preserve">Nota: trazabilidad requisito del GDD → feature → tarea. El estado corresponde al primer feature listado.</t>
  </si>
  <si>
    <t xml:space="preserve">Sección GDD</t>
  </si>
  <si>
    <t xml:space="preserve">Requisito del documento de diseño</t>
  </si>
  <si>
    <t xml:space="preserve">2.1 / 2.3</t>
  </si>
  <si>
    <t xml:space="preserve">Acertijos ambientales; cada hechizo abre rutas bloqueadas</t>
  </si>
  <si>
    <t xml:space="preserve">21</t>
  </si>
  <si>
    <t xml:space="preserve">2.4</t>
  </si>
  <si>
    <t xml:space="preserve">Cámara lateral con seguimiento suave</t>
  </si>
  <si>
    <t xml:space="preserve">1</t>
  </si>
  <si>
    <t xml:space="preserve">Teclado y control (New Input System)</t>
  </si>
  <si>
    <t xml:space="preserve">20</t>
  </si>
  <si>
    <t xml:space="preserve">Guardado automático en puntos de control</t>
  </si>
  <si>
    <t xml:space="preserve">15</t>
  </si>
  <si>
    <t xml:space="preserve">2.5</t>
  </si>
  <si>
    <t xml:space="preserve">Estados: Menú, Juego, Pausa, Logros, Game Over, Créditos</t>
  </si>
  <si>
    <t xml:space="preserve">T07, T14</t>
  </si>
  <si>
    <t xml:space="preserve">2.5 / 2.6</t>
  </si>
  <si>
    <t xml:space="preserve">16</t>
  </si>
  <si>
    <t xml:space="preserve">2.6</t>
  </si>
  <si>
    <t xml:space="preserve">HUD: vida, maná, hechizo equipado y fragmentos</t>
  </si>
  <si>
    <t xml:space="preserve">17</t>
  </si>
  <si>
    <t xml:space="preserve">T14, T26</t>
  </si>
  <si>
    <t xml:space="preserve">2.7</t>
  </si>
  <si>
    <t xml:space="preserve">Cinco niveles (alas) con su elenco y guardián</t>
  </si>
  <si>
    <t xml:space="preserve">6, 8, 10, 11</t>
  </si>
  <si>
    <t xml:space="preserve">T09 a T12</t>
  </si>
  <si>
    <t xml:space="preserve">2.8</t>
  </si>
  <si>
    <t xml:space="preserve">Progreso: hechizos, fragmentos y coleccionables</t>
  </si>
  <si>
    <t xml:space="preserve">23</t>
  </si>
  <si>
    <t xml:space="preserve">2.9 / 2.10</t>
  </si>
  <si>
    <t xml:space="preserve">Personajes y enemigos</t>
  </si>
  <si>
    <t xml:space="preserve">3, 11</t>
  </si>
  <si>
    <t xml:space="preserve">T06, T22</t>
  </si>
  <si>
    <t xml:space="preserve">2.11</t>
  </si>
  <si>
    <t xml:space="preserve">Habilidades: Fuego quema, Hielo congela, Viento planea y empuja</t>
  </si>
  <si>
    <t xml:space="preserve">5, 7, 9, 21</t>
  </si>
  <si>
    <t xml:space="preserve">T23, T27</t>
  </si>
  <si>
    <t xml:space="preserve">2.12</t>
  </si>
  <si>
    <t xml:space="preserve">Armas de los enemigos</t>
  </si>
  <si>
    <t xml:space="preserve">22</t>
  </si>
  <si>
    <t xml:space="preserve">2.13</t>
  </si>
  <si>
    <t xml:space="preserve">Ítems y mejoras</t>
  </si>
  <si>
    <t xml:space="preserve">T02, T20</t>
  </si>
  <si>
    <t xml:space="preserve">2.14</t>
  </si>
  <si>
    <t xml:space="preserve">Guion: prólogo, diálogos y epílogo</t>
  </si>
  <si>
    <t xml:space="preserve">18</t>
  </si>
  <si>
    <t xml:space="preserve">T15, T28</t>
  </si>
  <si>
    <t xml:space="preserve">2.15</t>
  </si>
  <si>
    <t xml:space="preserve">Diez logros</t>
  </si>
  <si>
    <t xml:space="preserve">12</t>
  </si>
  <si>
    <t xml:space="preserve">2.16</t>
  </si>
  <si>
    <t xml:space="preserve">Código secreto (Modo Archimaga)</t>
  </si>
  <si>
    <t xml:space="preserve">13</t>
  </si>
  <si>
    <t xml:space="preserve">2.17</t>
  </si>
  <si>
    <t xml:space="preserve">Música, efectos y sonido especial al vencer a un jefe</t>
  </si>
  <si>
    <t xml:space="preserve">19</t>
  </si>
  <si>
    <t xml:space="preserve">T17, T18</t>
  </si>
  <si>
    <t xml:space="preserve">4.3</t>
  </si>
  <si>
    <t xml:space="preserve">Pruebas Alfa y Evaluación Beta</t>
  </si>
  <si>
    <t xml:space="preserve">14, 26</t>
  </si>
  <si>
    <t xml:space="preserve">T32, T52, T53</t>
  </si>
  <si>
    <t xml:space="preserve">5.1</t>
  </si>
  <si>
    <t xml:space="preserve">Generación del ejecutable para Windows</t>
  </si>
  <si>
    <t xml:space="preserve">24</t>
  </si>
  <si>
    <t xml:space="preserve">T30, T33, T46</t>
  </si>
  <si>
    <t xml:space="preserve">2.4 / 2.6</t>
  </si>
  <si>
    <t xml:space="preserve">Ayudas al jugador y opción de ayuda para apuntar</t>
  </si>
  <si>
    <t xml:space="preserve">27</t>
  </si>
  <si>
    <t xml:space="preserve">T40, T43, T45</t>
  </si>
  <si>
    <t xml:space="preserve">Versión web para celular (navegador y app)</t>
  </si>
  <si>
    <t xml:space="preserve">28</t>
  </si>
  <si>
    <t xml:space="preserve">T49, T50</t>
  </si>
  <si>
    <t xml:space="preserve">DIAGRAMA DE GANTT - ECOS DEL GRIMORIO (1 sep - 30 nov, 2026)</t>
  </si>
  <si>
    <t xml:space="preserve">Nota: escala semanal (inicio en lunes). Verde = Terminado, ámbar = En desarrollo, gris = Planeado. Actividades de un día = hito. La semana en curso se marca en rojo.</t>
  </si>
  <si>
    <t xml:space="preserve">ago</t>
  </si>
  <si>
    <t xml:space="preserve">sep</t>
  </si>
  <si>
    <t xml:space="preserve">oct</t>
  </si>
  <si>
    <t xml:space="preserve">nov</t>
  </si>
  <si>
    <t xml:space="preserve">Actividad</t>
  </si>
  <si>
    <t xml:space="preserve">Documento de diseño (GDD)</t>
  </si>
  <si>
    <t xml:space="preserve">Bocetos y arte conceptual</t>
  </si>
  <si>
    <t xml:space="preserve">Entrega del Producto 1</t>
  </si>
  <si>
    <t xml:space="preserve">Importar arte y código base</t>
  </si>
  <si>
    <t xml:space="preserve">Herramienta CrearJuego, cinco alas y guardianes</t>
  </si>
  <si>
    <t xml:space="preserve">Audio, interfaz, historia, secretos y acertijos</t>
  </si>
  <si>
    <t xml:space="preserve">Correcciones, .exe, manual y documento del Producto 2</t>
  </si>
  <si>
    <t xml:space="preserve">Mejoras por las pruebas (apuntar, aves, secretos, sonidos, saltar nivel, fondos)</t>
  </si>
  <si>
    <t xml:space="preserve">Versión web para celular (GitHub Pages) y ajustes en el celular</t>
  </si>
  <si>
    <t xml:space="preserve">Preparar y practicar la demostración</t>
  </si>
  <si>
    <t xml:space="preserve">Evaluación Beta en clase (miércoles 28 de octubre)</t>
  </si>
  <si>
    <t xml:space="preserve">Entrega del Producto 2</t>
  </si>
  <si>
    <t xml:space="preserve">Registrar los resultados de la Evaluación Beta</t>
  </si>
  <si>
    <t xml:space="preserve">Correcciones y balance según la Evaluación Beta</t>
  </si>
  <si>
    <t xml:space="preserve">Borrador del Postmortem</t>
  </si>
  <si>
    <t xml:space="preserve">Entrega del Producto 3</t>
  </si>
  <si>
    <t xml:space="preserve">Versión final del .exe y de la web</t>
  </si>
  <si>
    <t xml:space="preserve">Postmortem completo</t>
  </si>
  <si>
    <t xml:space="preserve">Entrega final en memoria (.exe, documento y código fuente)</t>
  </si>
  <si>
    <t xml:space="preserve">SPRINT REVIEW - UNA COLUMNA POR SPRINT</t>
  </si>
  <si>
    <t xml:space="preserve">Nota: indicadores calculados desde Sprint Backlog, Buglist y pruebas. Los campos cualitativos se completan al cierre de cada sprint.</t>
  </si>
  <si>
    <t xml:space="preserve">Meta del sprint</t>
  </si>
  <si>
    <t xml:space="preserve">Preproducción: documento de diseño (GDD), bocetos y arte conceptual de personajes, enemigos, fondos, ítems y UI.</t>
  </si>
  <si>
    <t xml:space="preserve">Juego completo jugable en Unity con las cinco alas, jefes, logros y Modo Archimaga, listo para pruebas Alfa.</t>
  </si>
  <si>
    <t xml:space="preserve">Registrar los resultados de la Evaluación Beta, corregir y balancear lo que salga y tener el borrador del Postmortem.</t>
  </si>
  <si>
    <t xml:space="preserve">Versión final del .exe y de la web, Postmortem completo y entrega en memoria.</t>
  </si>
  <si>
    <t xml:space="preserve">Tareas terminadas</t>
  </si>
  <si>
    <t xml:space="preserve">Bugs corregidos</t>
  </si>
  <si>
    <t xml:space="preserve">Pruebas</t>
  </si>
  <si>
    <t xml:space="preserve">Revisión del arte antes de entregarlo.</t>
  </si>
  <si>
    <t xml:space="preserve">Jugar las cinco alas después de las correcciones de la Evaluación Beta.</t>
  </si>
  <si>
    <t xml:space="preserve">Prueba de la versión final en otra computadora y en celular.</t>
  </si>
  <si>
    <t xml:space="preserve">Demostración</t>
  </si>
  <si>
    <t xml:space="preserve">Documento de diseño y carpeta de arte entregados como Producto 1.</t>
  </si>
  <si>
    <t xml:space="preserve">Partida con el .exe y el control de PS4: diálogo con la Maestra Sable, combate, sala secreta, pantalla de resultados, Opciones y saltar nivel para mostrar las cinco alas y el final. También la versión web en el celular.</t>
  </si>
  <si>
    <t xml:space="preserve">¿Qué salió bien?</t>
  </si>
  <si>
    <t xml:space="preserve">El arte de Lira, los guardianes y los fondos quedó listo a tiempo y sirvió directo para el juego.</t>
  </si>
  <si>
    <t xml:space="preserve">La herramienta de editor permite reconstruir todas las escenas en un clic. El código con herencia (EnemyBase, BossController) hizo rápido agregar enemigos y jefes. Se adelantaron los features de los Sprints 3 y 4.</t>
  </si>
  <si>
    <t xml:space="preserve">¿Qué salió mal?</t>
  </si>
  <si>
    <t xml:space="preserve">Dos tareas de arte (enemigos comunes y limpieza) no se terminaron en el sprint y pasaron al Sprint 2. Algunos enemigos quedaron con un estilo distinto.</t>
  </si>
  <si>
    <t xml:space="preserve">Varias fallas solo aparecieron al jugar con el control (sonido, textos fuera del marco, final del juego) o en la revisión en clase (Lira flotando). El Ala de Viento quedó muy difícil por las aves. El Burn-down muestra que la mayor parte del trabajo se concentró en pocos días.</t>
  </si>
  <si>
    <t xml:space="preserve">Ajustes para el siguiente sprint</t>
  </si>
  <si>
    <t xml:space="preserve">Importar y ordenar todo el arte al inicio del Sprint 2 antes de programar.</t>
  </si>
  <si>
    <t xml:space="preserve">Sesiones más cortas y repartidas. Probar cada ala completa antes de agregar contenido nuevo. Practicar la demostración para la Evaluación Beta.</t>
  </si>
  <si>
    <t xml:space="preserve">Fecha de cierre</t>
  </si>
  <si>
    <t xml:space="preserve">18 de septiembre de 2026 (Producto 1)</t>
  </si>
  <si>
    <t xml:space="preserve">30 de octubre de 2026 (Producto 2)</t>
  </si>
  <si>
    <t xml:space="preserve">20 de noviembre de 2026 (Producto 3)</t>
  </si>
  <si>
    <t xml:space="preserve">30 de noviembre de 2026 (entrega final)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</si>
</sst>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%"/>
    <numFmt numFmtId="167" formatCode="0"/>
    <numFmt numFmtId="168" formatCode="General"/>
    <numFmt numFmtId="169" formatCode="dd/mm"/>
    <numFmt numFmtId="170" formatCode="dd"/>
    <numFmt numFmtId="171" formatCode="dd/mm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3B2470"/>
      <name val="Calibri"/>
      <family val="0"/>
      <charset val="1"/>
    </font>
    <font>
      <sz val="13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FFFFFF"/>
      </font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BFBFBF"/>
      <rgbColor rgb="FF7F7F7F"/>
      <rgbColor rgb="FFA6A6A6"/>
      <rgbColor rgb="FFBE4B48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BBB59"/>
      <rgbColor rgb="FFFFC000"/>
      <rgbColor rgb="FFBF9000"/>
      <rgbColor rgb="FFC55A11"/>
      <rgbColor rgb="FF8064A2"/>
      <rgbColor rgb="FF878787"/>
      <rgbColor rgb="FF1F3864"/>
      <rgbColor rgb="FF4A7EBB"/>
      <rgbColor rgb="FF003300"/>
      <rgbColor rgb="FF333300"/>
      <rgbColor rgb="FF993300"/>
      <rgbColor rgb="FFC0504D"/>
      <rgbColor rgb="FF3B2470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'Project Chart'!B3</c:f>
              <c:strCache>
                <c:ptCount val="1"/>
                <c:pt idx="0">
                  <c:v>Features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'Project Chart'!$A$4:$A$7</c:f>
              <c:strCache>
                <c:ptCount val="4"/>
                <c:pt idx="0">
                  <c:v>Terminado</c:v>
                </c:pt>
                <c:pt idx="1">
                  <c:v>En desarrollo</c:v>
                </c:pt>
                <c:pt idx="2">
                  <c:v>Planeado</c:v>
                </c:pt>
                <c:pt idx="3">
                  <c:v>Sin planear</c:v>
                </c:pt>
              </c:strCache>
            </c:strRef>
          </c:cat>
          <c:val>
            <c:numRef>
              <c:f>'Project Chart'!$B$4:$B$7</c:f>
              <c:numCache>
                <c:formatCode>General</c:formatCode>
                <c:ptCount val="4"/>
                <c:pt idx="0">
                  <c:v>26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Chart'!B5</c:f>
              <c:strCache>
                <c:ptCount val="1"/>
                <c:pt idx="0">
                  <c:v>Ideal (tareas)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Chart'!$A$6:$A$18</c:f>
              <c:strCache>
                <c:ptCount val="13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  <c:pt idx="12">
                  <c:v>13/09</c:v>
                </c:pt>
              </c:strCache>
            </c:strRef>
          </c:cat>
          <c:val>
            <c:numRef>
              <c:f>'Burn-down Chart'!$B$6:$B$18</c:f>
              <c:numCache>
                <c:formatCode>General</c:formatCode>
                <c:ptCount val="13"/>
                <c:pt idx="0">
                  <c:v>10</c:v>
                </c:pt>
                <c:pt idx="1">
                  <c:v>9.2</c:v>
                </c:pt>
                <c:pt idx="2">
                  <c:v>8.4</c:v>
                </c:pt>
                <c:pt idx="3">
                  <c:v>7.6</c:v>
                </c:pt>
                <c:pt idx="4">
                  <c:v>6.8</c:v>
                </c:pt>
                <c:pt idx="5">
                  <c:v>6</c:v>
                </c:pt>
                <c:pt idx="6">
                  <c:v>5.2</c:v>
                </c:pt>
                <c:pt idx="7">
                  <c:v>4.4</c:v>
                </c:pt>
                <c:pt idx="8">
                  <c:v>3.6</c:v>
                </c:pt>
                <c:pt idx="9">
                  <c:v>2.8</c:v>
                </c:pt>
                <c:pt idx="10">
                  <c:v>2</c:v>
                </c:pt>
                <c:pt idx="11">
                  <c:v>1.2</c:v>
                </c:pt>
                <c:pt idx="12">
                  <c:v>0.4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Chart'!C5</c:f>
              <c:strCache>
                <c:ptCount val="1"/>
                <c:pt idx="0">
                  <c:v>Real (tareas)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Chart'!$A$6:$A$18</c:f>
              <c:strCache>
                <c:ptCount val="13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  <c:pt idx="12">
                  <c:v>13/09</c:v>
                </c:pt>
              </c:strCache>
            </c:strRef>
          </c:cat>
          <c:val>
            <c:numRef>
              <c:f>'Burn-down Chart'!$C$6:$C$18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947290"/>
        <c:axId val="41176488"/>
      </c:lineChart>
      <c:catAx>
        <c:axId val="15947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76488"/>
        <c:crosses val="autoZero"/>
        <c:auto val="1"/>
        <c:lblAlgn val="ctr"/>
        <c:lblOffset val="100"/>
        <c:noMultiLvlLbl val="0"/>
      </c:catAx>
      <c:valAx>
        <c:axId val="41176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7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Chart'!B25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Chart'!$A$26:$A$40</c:f>
              <c:strCache>
                <c:ptCount val="15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  <c:pt idx="11">
                  <c:v>23/10</c:v>
                </c:pt>
                <c:pt idx="12">
                  <c:v>25/10</c:v>
                </c:pt>
                <c:pt idx="13">
                  <c:v>28/10</c:v>
                </c:pt>
                <c:pt idx="14">
                  <c:v>30/10</c:v>
                </c:pt>
              </c:strCache>
            </c:strRef>
          </c:cat>
          <c:val>
            <c:numRef>
              <c:f>'Burn-down Chart'!$B$26:$B$40</c:f>
              <c:numCache>
                <c:formatCode>General</c:formatCode>
                <c:ptCount val="15"/>
                <c:pt idx="0">
                  <c:v>207</c:v>
                </c:pt>
                <c:pt idx="1">
                  <c:v>186.8</c:v>
                </c:pt>
                <c:pt idx="2">
                  <c:v>171.7</c:v>
                </c:pt>
                <c:pt idx="3">
                  <c:v>151.5</c:v>
                </c:pt>
                <c:pt idx="4">
                  <c:v>131.3</c:v>
                </c:pt>
                <c:pt idx="5">
                  <c:v>126.2</c:v>
                </c:pt>
                <c:pt idx="6">
                  <c:v>116.1</c:v>
                </c:pt>
                <c:pt idx="7">
                  <c:v>85.8</c:v>
                </c:pt>
                <c:pt idx="8">
                  <c:v>75.7</c:v>
                </c:pt>
                <c:pt idx="9">
                  <c:v>45.4</c:v>
                </c:pt>
                <c:pt idx="10">
                  <c:v>40.4</c:v>
                </c:pt>
                <c:pt idx="11">
                  <c:v>35.3</c:v>
                </c:pt>
                <c:pt idx="12">
                  <c:v>25.2</c:v>
                </c:pt>
                <c:pt idx="13">
                  <c:v>10.1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Chart'!C25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Chart'!$A$26:$A$40</c:f>
              <c:strCache>
                <c:ptCount val="15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  <c:pt idx="11">
                  <c:v>23/10</c:v>
                </c:pt>
                <c:pt idx="12">
                  <c:v>25/10</c:v>
                </c:pt>
                <c:pt idx="13">
                  <c:v>28/10</c:v>
                </c:pt>
                <c:pt idx="14">
                  <c:v>30/10</c:v>
                </c:pt>
              </c:strCache>
            </c:strRef>
          </c:cat>
          <c:val>
            <c:numRef>
              <c:f>'Burn-down Chart'!$C$26:$C$40</c:f>
              <c:numCache>
                <c:formatCode>General</c:formatCode>
                <c:ptCount val="15"/>
                <c:pt idx="0">
                  <c:v>207</c:v>
                </c:pt>
                <c:pt idx="1">
                  <c:v>207</c:v>
                </c:pt>
                <c:pt idx="2">
                  <c:v>207</c:v>
                </c:pt>
                <c:pt idx="3">
                  <c:v>169</c:v>
                </c:pt>
                <c:pt idx="4">
                  <c:v>116</c:v>
                </c:pt>
                <c:pt idx="5">
                  <c:v>66</c:v>
                </c:pt>
                <c:pt idx="6">
                  <c:v>57</c:v>
                </c:pt>
                <c:pt idx="7">
                  <c:v>44</c:v>
                </c:pt>
                <c:pt idx="8">
                  <c:v>33</c:v>
                </c:pt>
                <c:pt idx="9">
                  <c:v>24</c:v>
                </c:pt>
                <c:pt idx="10">
                  <c:v>16</c:v>
                </c:pt>
                <c:pt idx="11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827096"/>
        <c:axId val="64457115"/>
      </c:lineChart>
      <c:catAx>
        <c:axId val="48827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57115"/>
        <c:crosses val="autoZero"/>
        <c:auto val="1"/>
        <c:lblAlgn val="ctr"/>
        <c:lblOffset val="100"/>
        <c:noMultiLvlLbl val="0"/>
      </c:catAx>
      <c:valAx>
        <c:axId val="64457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27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Chart'!B45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Chart'!$A$46:$A$55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'Burn-down Chart'!$B$46:$B$55</c:f>
              <c:numCache>
                <c:formatCode>General</c:formatCode>
                <c:ptCount val="10"/>
                <c:pt idx="0">
                  <c:v>27</c:v>
                </c:pt>
                <c:pt idx="1">
                  <c:v>23</c:v>
                </c:pt>
                <c:pt idx="2">
                  <c:v>20.3</c:v>
                </c:pt>
                <c:pt idx="3">
                  <c:v>17.6</c:v>
                </c:pt>
                <c:pt idx="4">
                  <c:v>13.5</c:v>
                </c:pt>
                <c:pt idx="5">
                  <c:v>10.8</c:v>
                </c:pt>
                <c:pt idx="6">
                  <c:v>8.1</c:v>
                </c:pt>
                <c:pt idx="7">
                  <c:v>4.1</c:v>
                </c:pt>
                <c:pt idx="8">
                  <c:v>1.4</c:v>
                </c:pt>
                <c:pt idx="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Chart'!C45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Chart'!$A$46:$A$55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'Burn-down Chart'!$C$46:$C$55</c:f>
              <c:numCache>
                <c:formatCode>General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27709"/>
        <c:axId val="2319632"/>
      </c:lineChart>
      <c:catAx>
        <c:axId val="8327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9632"/>
        <c:crosses val="autoZero"/>
        <c:auto val="1"/>
        <c:lblAlgn val="ctr"/>
        <c:lblOffset val="100"/>
        <c:noMultiLvlLbl val="0"/>
      </c:catAx>
      <c:valAx>
        <c:axId val="2319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7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Chart'!B65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Chart'!$A$66:$A$71</c:f>
              <c:strCache>
                <c:ptCount val="6"/>
                <c:pt idx="0">
                  <c:v>21/11</c:v>
                </c:pt>
                <c:pt idx="1">
                  <c:v>23/11</c:v>
                </c:pt>
                <c:pt idx="2">
                  <c:v>25/11</c:v>
                </c:pt>
                <c:pt idx="3">
                  <c:v>27/11</c:v>
                </c:pt>
                <c:pt idx="4">
                  <c:v>29/11</c:v>
                </c:pt>
                <c:pt idx="5">
                  <c:v>30/11</c:v>
                </c:pt>
              </c:strCache>
            </c:strRef>
          </c:cat>
          <c:val>
            <c:numRef>
              <c:f>'Burn-down Chart'!$B$66:$B$71</c:f>
              <c:numCache>
                <c:formatCode>General</c:formatCode>
                <c:ptCount val="6"/>
                <c:pt idx="0">
                  <c:v>14</c:v>
                </c:pt>
                <c:pt idx="1">
                  <c:v>10.9</c:v>
                </c:pt>
                <c:pt idx="2">
                  <c:v>7.8</c:v>
                </c:pt>
                <c:pt idx="3">
                  <c:v>4.7</c:v>
                </c:pt>
                <c:pt idx="4">
                  <c:v>1.6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Chart'!C65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Chart'!$A$66:$A$71</c:f>
              <c:strCache>
                <c:ptCount val="6"/>
                <c:pt idx="0">
                  <c:v>21/11</c:v>
                </c:pt>
                <c:pt idx="1">
                  <c:v>23/11</c:v>
                </c:pt>
                <c:pt idx="2">
                  <c:v>25/11</c:v>
                </c:pt>
                <c:pt idx="3">
                  <c:v>27/11</c:v>
                </c:pt>
                <c:pt idx="4">
                  <c:v>29/11</c:v>
                </c:pt>
                <c:pt idx="5">
                  <c:v>30/11</c:v>
                </c:pt>
              </c:strCache>
            </c:strRef>
          </c:cat>
          <c:val>
            <c:numRef>
              <c:f>'Burn-down Chart'!$C$66:$C$71</c:f>
              <c:numCache>
                <c:formatCode>General</c:formatCode>
                <c:ptCount val="6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870483"/>
        <c:axId val="73060389"/>
      </c:lineChart>
      <c:catAx>
        <c:axId val="59870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60389"/>
        <c:crosses val="autoZero"/>
        <c:auto val="1"/>
        <c:lblAlgn val="ctr"/>
        <c:lblOffset val="100"/>
        <c:noMultiLvlLbl val="0"/>
      </c:catAx>
      <c:valAx>
        <c:axId val="73060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0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Chart'!B5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Chart'!$A$6:$A$17</c:f>
              <c:strCache>
                <c:ptCount val="12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</c:strCache>
            </c:strRef>
          </c:cat>
          <c:val>
            <c:numRef>
              <c:f>'Task Chart'!$B$6:$B$17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 Chart'!C5</c:f>
              <c:strCache>
                <c:ptCount val="1"/>
                <c:pt idx="0">
                  <c:v>En progreso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Chart'!$A$6:$A$17</c:f>
              <c:strCache>
                <c:ptCount val="12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</c:strCache>
            </c:strRef>
          </c:cat>
          <c:val>
            <c:numRef>
              <c:f>'Task Chart'!$C$6:$C$17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648505"/>
        <c:axId val="98407618"/>
      </c:lineChart>
      <c:catAx>
        <c:axId val="906485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07618"/>
        <c:crosses val="autoZero"/>
        <c:auto val="1"/>
        <c:lblAlgn val="ctr"/>
        <c:lblOffset val="100"/>
        <c:noMultiLvlLbl val="0"/>
      </c:catAx>
      <c:valAx>
        <c:axId val="98407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48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Chart'!B25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Chart'!$A$26:$A$40</c:f>
              <c:strCache>
                <c:ptCount val="15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  <c:pt idx="11">
                  <c:v>23/10</c:v>
                </c:pt>
                <c:pt idx="12">
                  <c:v>25/10</c:v>
                </c:pt>
                <c:pt idx="13">
                  <c:v>28/10</c:v>
                </c:pt>
                <c:pt idx="14">
                  <c:v>30/10</c:v>
                </c:pt>
              </c:strCache>
            </c:strRef>
          </c:cat>
          <c:val>
            <c:numRef>
              <c:f>'Task Chart'!$B$26:$B$40</c:f>
              <c:numCache>
                <c:formatCode>General</c:formatCode>
                <c:ptCount val="15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46</c:v>
                </c:pt>
                <c:pt idx="4">
                  <c:v>37</c:v>
                </c:pt>
                <c:pt idx="5">
                  <c:v>25</c:v>
                </c:pt>
                <c:pt idx="6">
                  <c:v>21</c:v>
                </c:pt>
                <c:pt idx="7">
                  <c:v>17</c:v>
                </c:pt>
                <c:pt idx="8">
                  <c:v>12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 Chart'!C25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Chart'!$A$26:$A$40</c:f>
              <c:strCache>
                <c:ptCount val="15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21/10</c:v>
                </c:pt>
                <c:pt idx="10">
                  <c:v>22/10</c:v>
                </c:pt>
                <c:pt idx="11">
                  <c:v>23/10</c:v>
                </c:pt>
                <c:pt idx="12">
                  <c:v>25/10</c:v>
                </c:pt>
                <c:pt idx="13">
                  <c:v>28/10</c:v>
                </c:pt>
                <c:pt idx="14">
                  <c:v>30/10</c:v>
                </c:pt>
              </c:strCache>
            </c:strRef>
          </c:cat>
          <c:val>
            <c:numRef>
              <c:f>'Task Chart'!$C$26:$C$40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16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41</c:v>
                </c:pt>
                <c:pt idx="9">
                  <c:v>45</c:v>
                </c:pt>
                <c:pt idx="10">
                  <c:v>47</c:v>
                </c:pt>
                <c:pt idx="11">
                  <c:v>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605908"/>
        <c:axId val="66183294"/>
      </c:lineChart>
      <c:catAx>
        <c:axId val="806059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83294"/>
        <c:crosses val="autoZero"/>
        <c:auto val="1"/>
        <c:lblAlgn val="ctr"/>
        <c:lblOffset val="100"/>
        <c:noMultiLvlLbl val="0"/>
      </c:catAx>
      <c:valAx>
        <c:axId val="66183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5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Chart'!B45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Chart'!$A$46:$A$55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'Task Chart'!$B$46:$B$55</c:f>
              <c:numCache>
                <c:formatCode>General</c:formatCode>
                <c:ptCount val="10"/>
              </c:numCache>
            </c:numRef>
          </c:val>
          <c:smooth val="0"/>
        </c:ser>
        <c:ser>
          <c:idx val="1"/>
          <c:order val="1"/>
          <c:tx>
            <c:strRef>
              <c:f>'Task Chart'!C45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Chart'!$A$46:$A$55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'Task Chart'!$C$46:$C$55</c:f>
              <c:numCache>
                <c:formatCode>General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105966"/>
        <c:axId val="77207302"/>
      </c:lineChart>
      <c:catAx>
        <c:axId val="63105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07302"/>
        <c:crosses val="autoZero"/>
        <c:auto val="1"/>
        <c:lblAlgn val="ctr"/>
        <c:lblOffset val="100"/>
        <c:noMultiLvlLbl val="0"/>
      </c:catAx>
      <c:valAx>
        <c:axId val="77207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05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Chart'!B65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Chart'!$A$66:$A$71</c:f>
              <c:strCache>
                <c:ptCount val="6"/>
                <c:pt idx="0">
                  <c:v>21/11</c:v>
                </c:pt>
                <c:pt idx="1">
                  <c:v>23/11</c:v>
                </c:pt>
                <c:pt idx="2">
                  <c:v>25/11</c:v>
                </c:pt>
                <c:pt idx="3">
                  <c:v>27/11</c:v>
                </c:pt>
                <c:pt idx="4">
                  <c:v>29/11</c:v>
                </c:pt>
                <c:pt idx="5">
                  <c:v>30/11</c:v>
                </c:pt>
              </c:strCache>
            </c:strRef>
          </c:cat>
          <c:val>
            <c:numRef>
              <c:f>'Task Chart'!$B$66:$B$71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"/>
          <c:order val="1"/>
          <c:tx>
            <c:strRef>
              <c:f>'Task Chart'!C65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Chart'!$A$66:$A$71</c:f>
              <c:strCache>
                <c:ptCount val="6"/>
                <c:pt idx="0">
                  <c:v>21/11</c:v>
                </c:pt>
                <c:pt idx="1">
                  <c:v>23/11</c:v>
                </c:pt>
                <c:pt idx="2">
                  <c:v>25/11</c:v>
                </c:pt>
                <c:pt idx="3">
                  <c:v>27/11</c:v>
                </c:pt>
                <c:pt idx="4">
                  <c:v>29/11</c:v>
                </c:pt>
                <c:pt idx="5">
                  <c:v>30/11</c:v>
                </c:pt>
              </c:strCache>
            </c:strRef>
          </c:cat>
          <c:val>
            <c:numRef>
              <c:f>'Task Chart'!$C$66:$C$71</c:f>
              <c:numCache>
                <c:formatCode>General</c:formatCode>
                <c:ptCount val="6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541709"/>
        <c:axId val="50818972"/>
      </c:lineChart>
      <c:catAx>
        <c:axId val="35541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18972"/>
        <c:crosses val="autoZero"/>
        <c:auto val="1"/>
        <c:lblAlgn val="ctr"/>
        <c:lblOffset val="100"/>
        <c:noMultiLvlLbl val="0"/>
      </c:catAx>
      <c:valAx>
        <c:axId val="50818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41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364248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17</xdr:row>
      <xdr:rowOff>2880</xdr:rowOff>
    </xdr:to>
    <xdr:graphicFrame>
      <xdr:nvGraphicFramePr>
        <xdr:cNvPr id="1" name="Chart 1"/>
        <xdr:cNvGraphicFramePr/>
      </xdr:nvGraphicFramePr>
      <xdr:xfrm>
        <a:off x="42062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160560</xdr:rowOff>
    </xdr:from>
    <xdr:to>
      <xdr:col>14</xdr:col>
      <xdr:colOff>255960</xdr:colOff>
      <xdr:row>36</xdr:row>
      <xdr:rowOff>23760</xdr:rowOff>
    </xdr:to>
    <xdr:graphicFrame>
      <xdr:nvGraphicFramePr>
        <xdr:cNvPr id="2" name="Chart 2"/>
        <xdr:cNvGraphicFramePr/>
      </xdr:nvGraphicFramePr>
      <xdr:xfrm>
        <a:off x="4206240" y="438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181440</xdr:rowOff>
    </xdr:from>
    <xdr:to>
      <xdr:col>14</xdr:col>
      <xdr:colOff>255960</xdr:colOff>
      <xdr:row>55</xdr:row>
      <xdr:rowOff>44640</xdr:rowOff>
    </xdr:to>
    <xdr:graphicFrame>
      <xdr:nvGraphicFramePr>
        <xdr:cNvPr id="3" name="Chart 3"/>
        <xdr:cNvGraphicFramePr/>
      </xdr:nvGraphicFramePr>
      <xdr:xfrm>
        <a:off x="4206240" y="819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61</xdr:row>
      <xdr:rowOff>12240</xdr:rowOff>
    </xdr:from>
    <xdr:to>
      <xdr:col>14</xdr:col>
      <xdr:colOff>255960</xdr:colOff>
      <xdr:row>74</xdr:row>
      <xdr:rowOff>65880</xdr:rowOff>
    </xdr:to>
    <xdr:graphicFrame>
      <xdr:nvGraphicFramePr>
        <xdr:cNvPr id="4" name="Chart 4"/>
        <xdr:cNvGraphicFramePr/>
      </xdr:nvGraphicFramePr>
      <xdr:xfrm>
        <a:off x="4206240" y="1200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17</xdr:row>
      <xdr:rowOff>2880</xdr:rowOff>
    </xdr:to>
    <xdr:graphicFrame>
      <xdr:nvGraphicFramePr>
        <xdr:cNvPr id="5" name="Chart 1"/>
        <xdr:cNvGraphicFramePr/>
      </xdr:nvGraphicFramePr>
      <xdr:xfrm>
        <a:off x="42062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160560</xdr:rowOff>
    </xdr:from>
    <xdr:to>
      <xdr:col>14</xdr:col>
      <xdr:colOff>255960</xdr:colOff>
      <xdr:row>36</xdr:row>
      <xdr:rowOff>23760</xdr:rowOff>
    </xdr:to>
    <xdr:graphicFrame>
      <xdr:nvGraphicFramePr>
        <xdr:cNvPr id="6" name="Chart 2"/>
        <xdr:cNvGraphicFramePr/>
      </xdr:nvGraphicFramePr>
      <xdr:xfrm>
        <a:off x="4206240" y="438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181440</xdr:rowOff>
    </xdr:from>
    <xdr:to>
      <xdr:col>14</xdr:col>
      <xdr:colOff>255960</xdr:colOff>
      <xdr:row>55</xdr:row>
      <xdr:rowOff>44640</xdr:rowOff>
    </xdr:to>
    <xdr:graphicFrame>
      <xdr:nvGraphicFramePr>
        <xdr:cNvPr id="7" name="Chart 3"/>
        <xdr:cNvGraphicFramePr/>
      </xdr:nvGraphicFramePr>
      <xdr:xfrm>
        <a:off x="4206240" y="819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61</xdr:row>
      <xdr:rowOff>12240</xdr:rowOff>
    </xdr:from>
    <xdr:to>
      <xdr:col>14</xdr:col>
      <xdr:colOff>255960</xdr:colOff>
      <xdr:row>74</xdr:row>
      <xdr:rowOff>65880</xdr:rowOff>
    </xdr:to>
    <xdr:graphicFrame>
      <xdr:nvGraphicFramePr>
        <xdr:cNvPr id="8" name="Chart 4"/>
        <xdr:cNvGraphicFramePr/>
      </xdr:nvGraphicFramePr>
      <xdr:xfrm>
        <a:off x="4206240" y="1200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exap1115web.github.io/Ecos-Del-Grimorio/" TargetMode="External"/><Relationship Id="rId2" Type="http://schemas.openxmlformats.org/officeDocument/2006/relationships/hyperlink" Target="https://github.com/AlexAP1115web/Ecos-Del-Grimorio" TargetMode="External"/><Relationship Id="rId3" Type="http://schemas.openxmlformats.org/officeDocument/2006/relationships/hyperlink" Target="P&#233;rezAlc&#225;ntaraAlejandro_producci&#243;n_10D.xlsx" TargetMode="External"/><Relationship Id="rId4" Type="http://schemas.openxmlformats.org/officeDocument/2006/relationships/hyperlink" Target="P&#233;rezAlc&#225;ntaraAlejandro_producci&#243;n_10D.xlsx" TargetMode="External"/><Relationship Id="rId5" Type="http://schemas.openxmlformats.org/officeDocument/2006/relationships/hyperlink" Target="P&#233;rezAlc&#225;ntaraAlejandro_producci&#243;n_10D.xlsx" TargetMode="External"/><Relationship Id="rId6" Type="http://schemas.openxmlformats.org/officeDocument/2006/relationships/hyperlink" Target="P&#233;rezAlc&#225;ntaraAlejandro_producci&#243;n_10D.xlsx" TargetMode="External"/><Relationship Id="rId7" Type="http://schemas.openxmlformats.org/officeDocument/2006/relationships/hyperlink" Target="P&#233;rezAlc&#225;ntaraAlejandro_producci&#243;n_10D.xlsx" TargetMode="External"/><Relationship Id="rId8" Type="http://schemas.openxmlformats.org/officeDocument/2006/relationships/hyperlink" Target="P&#233;rezAlc&#225;ntaraAlejandro_producci&#243;n_10D.xlsx" TargetMode="External"/><Relationship Id="rId9" Type="http://schemas.openxmlformats.org/officeDocument/2006/relationships/hyperlink" Target="P&#233;rezAlc&#225;ntaraAlejandro_producci&#243;n_10D.xlsx" TargetMode="External"/><Relationship Id="rId10" Type="http://schemas.openxmlformats.org/officeDocument/2006/relationships/hyperlink" Target="P&#233;rezAlc&#225;ntaraAlejandro_producci&#243;n_10D.xlsx" TargetMode="External"/><Relationship Id="rId11" Type="http://schemas.openxmlformats.org/officeDocument/2006/relationships/hyperlink" Target="P&#233;rezAlc&#225;ntaraAlejandro_producci&#243;n_10D.xlsx" TargetMode="External"/><Relationship Id="rId12" Type="http://schemas.openxmlformats.org/officeDocument/2006/relationships/hyperlink" Target="P&#233;rezAlc&#225;ntaraAlejandro_producci&#243;n_10D.xlsx" TargetMode="External"/><Relationship Id="rId13" Type="http://schemas.openxmlformats.org/officeDocument/2006/relationships/hyperlink" Target="P&#233;rezAlc&#225;ntaraAlejandro_producci&#243;n_10D.xlsx" TargetMode="External"/><Relationship Id="rId14" Type="http://schemas.openxmlformats.org/officeDocument/2006/relationships/hyperlink" Target="P&#233;rezAlc&#225;ntaraAlejandro_producci&#243;n_10D.xlsx" TargetMode="External"/><Relationship Id="rId15" Type="http://schemas.openxmlformats.org/officeDocument/2006/relationships/hyperlink" Target="P&#233;rezAlc&#225;ntaraAlejandro_producci&#243;n_10D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2470"/>
    <pageSetUpPr fitToPage="true"/>
  </sheetPr>
  <dimension ref="B2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14"/>
    <col collapsed="false" customWidth="true" hidden="false" outlineLevel="0" max="8" min="8" style="0" width="30"/>
  </cols>
  <sheetData>
    <row r="2" customFormat="false" ht="29.1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4"/>
      <c r="E5" s="4"/>
      <c r="F5" s="4"/>
      <c r="G5" s="4"/>
      <c r="H5" s="4"/>
    </row>
    <row r="6" customFormat="false" ht="15" hidden="false" customHeight="false" outlineLevel="0" collapsed="false">
      <c r="B6" s="3" t="s">
        <v>4</v>
      </c>
      <c r="C6" s="4" t="s">
        <v>5</v>
      </c>
      <c r="D6" s="4"/>
      <c r="E6" s="4"/>
      <c r="F6" s="4"/>
      <c r="G6" s="4"/>
      <c r="H6" s="4"/>
    </row>
    <row r="7" customFormat="false" ht="15" hidden="false" customHeight="false" outlineLevel="0" collapsed="false">
      <c r="B7" s="3" t="s">
        <v>6</v>
      </c>
      <c r="C7" s="4" t="s">
        <v>7</v>
      </c>
      <c r="D7" s="4"/>
      <c r="E7" s="4"/>
      <c r="F7" s="4"/>
      <c r="G7" s="4"/>
      <c r="H7" s="4"/>
    </row>
    <row r="8" customFormat="false" ht="15" hidden="false" customHeight="false" outlineLevel="0" collapsed="false">
      <c r="B8" s="3" t="s">
        <v>8</v>
      </c>
      <c r="C8" s="4" t="s">
        <v>9</v>
      </c>
      <c r="D8" s="4"/>
      <c r="E8" s="4"/>
      <c r="F8" s="4"/>
      <c r="G8" s="4"/>
      <c r="H8" s="4"/>
    </row>
    <row r="9" customFormat="false" ht="15" hidden="false" customHeight="false" outlineLevel="0" collapsed="false">
      <c r="B9" s="3" t="s">
        <v>10</v>
      </c>
      <c r="C9" s="4" t="s">
        <v>11</v>
      </c>
      <c r="D9" s="4"/>
      <c r="E9" s="4"/>
      <c r="F9" s="4"/>
      <c r="G9" s="4"/>
      <c r="H9" s="4"/>
    </row>
    <row r="10" customFormat="false" ht="15" hidden="false" customHeight="false" outlineLevel="0" collapsed="false">
      <c r="B10" s="3" t="s">
        <v>12</v>
      </c>
      <c r="C10" s="4" t="s">
        <v>13</v>
      </c>
      <c r="D10" s="4"/>
      <c r="E10" s="4"/>
      <c r="F10" s="4"/>
      <c r="G10" s="4"/>
      <c r="H10" s="4"/>
    </row>
    <row r="11" customFormat="false" ht="15" hidden="false" customHeight="false" outlineLevel="0" collapsed="false">
      <c r="B11" s="3" t="s">
        <v>14</v>
      </c>
      <c r="C11" s="5" t="s">
        <v>15</v>
      </c>
      <c r="D11" s="5"/>
      <c r="E11" s="5"/>
      <c r="F11" s="5"/>
      <c r="G11" s="5"/>
      <c r="H11" s="5"/>
    </row>
    <row r="12" customFormat="false" ht="15" hidden="false" customHeight="false" outlineLevel="0" collapsed="false">
      <c r="B12" s="3" t="s">
        <v>16</v>
      </c>
      <c r="C12" s="5" t="s">
        <v>17</v>
      </c>
      <c r="D12" s="5"/>
      <c r="E12" s="5"/>
      <c r="F12" s="5"/>
      <c r="G12" s="5"/>
      <c r="H12" s="5"/>
    </row>
    <row r="13" customFormat="false" ht="15" hidden="false" customHeight="false" outlineLevel="0" collapsed="false">
      <c r="B13" s="3" t="s">
        <v>18</v>
      </c>
      <c r="C13" s="4" t="s">
        <v>19</v>
      </c>
      <c r="D13" s="4"/>
      <c r="E13" s="4"/>
      <c r="F13" s="4"/>
      <c r="G13" s="4"/>
      <c r="H13" s="4"/>
    </row>
    <row r="14" customFormat="false" ht="15" hidden="false" customHeight="false" outlineLevel="0" collapsed="false">
      <c r="B14" s="3" t="s">
        <v>20</v>
      </c>
      <c r="C14" s="6" t="n">
        <v>46318</v>
      </c>
      <c r="D14" s="6"/>
      <c r="E14" s="6"/>
      <c r="F14" s="6"/>
      <c r="G14" s="6"/>
      <c r="H14" s="6"/>
    </row>
    <row r="16" customFormat="false" ht="15" hidden="false" customHeight="false" outlineLevel="0" collapsed="false">
      <c r="B16" s="7" t="s">
        <v>21</v>
      </c>
    </row>
    <row r="17" customFormat="false" ht="15" hidden="false" customHeight="false" outlineLevel="0" collapsed="false">
      <c r="B17" s="8" t="s">
        <v>22</v>
      </c>
      <c r="C17" s="8" t="s">
        <v>23</v>
      </c>
      <c r="D17" s="8" t="s">
        <v>24</v>
      </c>
      <c r="E17" s="8" t="s">
        <v>25</v>
      </c>
      <c r="F17" s="8" t="s">
        <v>26</v>
      </c>
      <c r="G17" s="8" t="s">
        <v>27</v>
      </c>
      <c r="H17" s="8" t="s">
        <v>28</v>
      </c>
    </row>
    <row r="18" customFormat="false" ht="15" hidden="false" customHeight="false" outlineLevel="0" collapsed="false">
      <c r="B18" s="9" t="s">
        <v>29</v>
      </c>
      <c r="C18" s="10" t="n">
        <f aca="false">'Sprint Plan'!B4</f>
        <v>46266</v>
      </c>
      <c r="D18" s="10" t="n">
        <f aca="false">'Sprint Plan'!D4</f>
        <v>46283</v>
      </c>
      <c r="E18" s="9" t="str">
        <f aca="false">'Sprint Plan'!E4</f>
        <v>Terminado</v>
      </c>
      <c r="F18" s="9" t="n">
        <f aca="false">'Sprint Backlog'!E88</f>
        <v>10</v>
      </c>
      <c r="G18" s="9" t="n">
        <f aca="false">'Sprint Backlog'!F88</f>
        <v>10</v>
      </c>
      <c r="H18" s="11" t="n">
        <f aca="false">'Sprint Backlog'!I88</f>
        <v>1</v>
      </c>
    </row>
    <row r="19" customFormat="false" ht="15" hidden="false" customHeight="false" outlineLevel="0" collapsed="false">
      <c r="B19" s="9" t="s">
        <v>30</v>
      </c>
      <c r="C19" s="10" t="n">
        <f aca="false">'Sprint Plan'!B5</f>
        <v>46284</v>
      </c>
      <c r="D19" s="10" t="n">
        <f aca="false">'Sprint Plan'!D5</f>
        <v>46325</v>
      </c>
      <c r="E19" s="9" t="str">
        <f aca="false">'Sprint Plan'!E5</f>
        <v>En desarrollo</v>
      </c>
      <c r="F19" s="9" t="n">
        <f aca="false">'Sprint Backlog'!E89</f>
        <v>53</v>
      </c>
      <c r="G19" s="9" t="n">
        <f aca="false">'Sprint Backlog'!F89</f>
        <v>48</v>
      </c>
      <c r="H19" s="11" t="n">
        <f aca="false">'Sprint Backlog'!I89</f>
        <v>0.942028985507246</v>
      </c>
    </row>
    <row r="20" customFormat="false" ht="15" hidden="false" customHeight="false" outlineLevel="0" collapsed="false">
      <c r="B20" s="9" t="s">
        <v>31</v>
      </c>
      <c r="C20" s="10" t="n">
        <f aca="false">'Sprint Plan'!B6</f>
        <v>46326</v>
      </c>
      <c r="D20" s="10" t="n">
        <f aca="false">'Sprint Plan'!D6</f>
        <v>46346</v>
      </c>
      <c r="E20" s="9" t="str">
        <f aca="false">'Sprint Plan'!E6</f>
        <v>Planeado</v>
      </c>
      <c r="F20" s="9" t="n">
        <f aca="false">'Sprint Backlog'!E90</f>
        <v>12</v>
      </c>
      <c r="G20" s="9" t="n">
        <f aca="false">'Sprint Backlog'!F90</f>
        <v>2</v>
      </c>
      <c r="H20" s="11" t="n">
        <f aca="false">'Sprint Backlog'!I90</f>
        <v>0.111111111111111</v>
      </c>
    </row>
    <row r="21" customFormat="false" ht="15" hidden="false" customHeight="false" outlineLevel="0" collapsed="false">
      <c r="B21" s="9" t="s">
        <v>32</v>
      </c>
      <c r="C21" s="10" t="n">
        <f aca="false">'Sprint Plan'!B7</f>
        <v>46347</v>
      </c>
      <c r="D21" s="10" t="n">
        <f aca="false">'Sprint Plan'!D7</f>
        <v>46356</v>
      </c>
      <c r="E21" s="9" t="str">
        <f aca="false">'Sprint Plan'!E7</f>
        <v>Planeado</v>
      </c>
      <c r="F21" s="9" t="n">
        <f aca="false">'Sprint Backlog'!E91</f>
        <v>7</v>
      </c>
      <c r="G21" s="9" t="n">
        <f aca="false">'Sprint Backlog'!F91</f>
        <v>0</v>
      </c>
      <c r="H21" s="11" t="n">
        <f aca="false">'Sprint Backlog'!I91</f>
        <v>0</v>
      </c>
    </row>
    <row r="22" customFormat="false" ht="15" hidden="false" customHeight="false" outlineLevel="0" collapsed="false">
      <c r="B22" s="12" t="s">
        <v>33</v>
      </c>
      <c r="C22" s="12"/>
      <c r="D22" s="12"/>
      <c r="E22" s="12"/>
      <c r="F22" s="12" t="n">
        <f aca="false">'Sprint Backlog'!E92</f>
        <v>82</v>
      </c>
      <c r="G22" s="12" t="n">
        <f aca="false">'Sprint Backlog'!F92</f>
        <v>60</v>
      </c>
      <c r="H22" s="13" t="n">
        <f aca="false">'Sprint Backlog'!I92</f>
        <v>0.826388888888889</v>
      </c>
    </row>
    <row r="24" customFormat="false" ht="15" hidden="false" customHeight="false" outlineLevel="0" collapsed="false">
      <c r="B24" s="7" t="s">
        <v>34</v>
      </c>
    </row>
    <row r="25" customFormat="false" ht="15" hidden="false" customHeight="false" outlineLevel="0" collapsed="false">
      <c r="B25" s="3" t="s">
        <v>35</v>
      </c>
      <c r="C25" s="3" t="s">
        <v>36</v>
      </c>
      <c r="D25" s="3"/>
      <c r="E25" s="3"/>
      <c r="F25" s="3"/>
      <c r="G25" s="3"/>
      <c r="H25" s="3"/>
    </row>
    <row r="26" customFormat="false" ht="15" hidden="false" customHeight="false" outlineLevel="0" collapsed="false">
      <c r="B26" s="14" t="s">
        <v>37</v>
      </c>
      <c r="C26" s="15" t="s">
        <v>38</v>
      </c>
      <c r="D26" s="15"/>
      <c r="E26" s="15"/>
      <c r="F26" s="15"/>
      <c r="G26" s="15"/>
      <c r="H26" s="15"/>
    </row>
    <row r="27" customFormat="false" ht="15" hidden="false" customHeight="false" outlineLevel="0" collapsed="false">
      <c r="B27" s="14" t="s">
        <v>39</v>
      </c>
      <c r="C27" s="15" t="s">
        <v>40</v>
      </c>
      <c r="D27" s="15"/>
      <c r="E27" s="15"/>
      <c r="F27" s="15"/>
      <c r="G27" s="15"/>
      <c r="H27" s="15"/>
    </row>
    <row r="28" customFormat="false" ht="15" hidden="false" customHeight="false" outlineLevel="0" collapsed="false">
      <c r="B28" s="14" t="s">
        <v>41</v>
      </c>
      <c r="C28" s="15" t="s">
        <v>42</v>
      </c>
      <c r="D28" s="15"/>
      <c r="E28" s="15"/>
      <c r="F28" s="15"/>
      <c r="G28" s="15"/>
      <c r="H28" s="15"/>
    </row>
    <row r="29" customFormat="false" ht="15" hidden="false" customHeight="false" outlineLevel="0" collapsed="false">
      <c r="B29" s="14" t="s">
        <v>43</v>
      </c>
      <c r="C29" s="15" t="s">
        <v>44</v>
      </c>
      <c r="D29" s="15"/>
      <c r="E29" s="15"/>
      <c r="F29" s="15"/>
      <c r="G29" s="15"/>
      <c r="H29" s="15"/>
    </row>
    <row r="30" customFormat="false" ht="15" hidden="false" customHeight="false" outlineLevel="0" collapsed="false">
      <c r="B30" s="14" t="s">
        <v>45</v>
      </c>
      <c r="C30" s="15" t="s">
        <v>46</v>
      </c>
      <c r="D30" s="15"/>
      <c r="E30" s="15"/>
      <c r="F30" s="15"/>
      <c r="G30" s="15"/>
      <c r="H30" s="15"/>
    </row>
    <row r="31" customFormat="false" ht="15" hidden="false" customHeight="false" outlineLevel="0" collapsed="false">
      <c r="B31" s="14" t="s">
        <v>47</v>
      </c>
      <c r="C31" s="15" t="s">
        <v>48</v>
      </c>
      <c r="D31" s="15"/>
      <c r="E31" s="15"/>
      <c r="F31" s="15"/>
      <c r="G31" s="15"/>
      <c r="H31" s="15"/>
    </row>
    <row r="32" customFormat="false" ht="15" hidden="false" customHeight="false" outlineLevel="0" collapsed="false">
      <c r="B32" s="14" t="s">
        <v>49</v>
      </c>
      <c r="C32" s="15" t="s">
        <v>50</v>
      </c>
      <c r="D32" s="15"/>
      <c r="E32" s="15"/>
      <c r="F32" s="15"/>
      <c r="G32" s="15"/>
      <c r="H32" s="15"/>
    </row>
    <row r="33" customFormat="false" ht="15" hidden="false" customHeight="false" outlineLevel="0" collapsed="false">
      <c r="B33" s="14" t="s">
        <v>51</v>
      </c>
      <c r="C33" s="15" t="s">
        <v>52</v>
      </c>
      <c r="D33" s="15"/>
      <c r="E33" s="15"/>
      <c r="F33" s="15"/>
      <c r="G33" s="15"/>
      <c r="H33" s="15"/>
    </row>
    <row r="34" customFormat="false" ht="15" hidden="false" customHeight="false" outlineLevel="0" collapsed="false">
      <c r="B34" s="14" t="s">
        <v>53</v>
      </c>
      <c r="C34" s="15" t="s">
        <v>54</v>
      </c>
      <c r="D34" s="15"/>
      <c r="E34" s="15"/>
      <c r="F34" s="15"/>
      <c r="G34" s="15"/>
      <c r="H34" s="15"/>
    </row>
    <row r="35" customFormat="false" ht="15" hidden="false" customHeight="false" outlineLevel="0" collapsed="false">
      <c r="B35" s="14" t="s">
        <v>55</v>
      </c>
      <c r="C35" s="15" t="s">
        <v>56</v>
      </c>
      <c r="D35" s="15"/>
      <c r="E35" s="15"/>
      <c r="F35" s="15"/>
      <c r="G35" s="15"/>
      <c r="H35" s="15"/>
    </row>
    <row r="36" customFormat="false" ht="15" hidden="false" customHeight="false" outlineLevel="0" collapsed="false">
      <c r="B36" s="14" t="s">
        <v>57</v>
      </c>
      <c r="C36" s="15" t="s">
        <v>58</v>
      </c>
      <c r="D36" s="15"/>
      <c r="E36" s="15"/>
      <c r="F36" s="15"/>
      <c r="G36" s="15"/>
      <c r="H36" s="15"/>
    </row>
    <row r="37" customFormat="false" ht="15" hidden="false" customHeight="false" outlineLevel="0" collapsed="false">
      <c r="B37" s="14" t="s">
        <v>59</v>
      </c>
      <c r="C37" s="15" t="s">
        <v>60</v>
      </c>
      <c r="D37" s="15"/>
      <c r="E37" s="15"/>
      <c r="F37" s="15"/>
      <c r="G37" s="15"/>
      <c r="H37" s="15"/>
    </row>
    <row r="38" customFormat="false" ht="15" hidden="false" customHeight="false" outlineLevel="0" collapsed="false">
      <c r="B38" s="14" t="s">
        <v>61</v>
      </c>
      <c r="C38" s="15" t="s">
        <v>62</v>
      </c>
      <c r="D38" s="15"/>
      <c r="E38" s="15"/>
      <c r="F38" s="15"/>
      <c r="G38" s="15"/>
      <c r="H38" s="15"/>
    </row>
  </sheetData>
  <mergeCells count="24"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</mergeCells>
  <conditionalFormatting sqref="E18:E21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hyperlinks>
    <hyperlink ref="C11" r:id="rId1" display="https://alexap1115web.github.io/Ecos-Del-Grimorio/"/>
    <hyperlink ref="C12" r:id="rId2" display="https://github.com/AlexAP1115web/Ecos-Del-Grimorio"/>
    <hyperlink ref="B26" r:id="rId3" location="'Feature%20Log'!A1" display="Feature Log"/>
    <hyperlink ref="B27" r:id="rId4" location="'Sprint%20Plan'!A1" display="Sprint Plan"/>
    <hyperlink ref="B28" r:id="rId5" location="'Sprint%20Backlog'!A1" display="Sprint Backlog"/>
    <hyperlink ref="B29" r:id="rId6" location="'Daily%20Huddle'!A1" display="Daily Huddle"/>
    <hyperlink ref="B30" r:id="rId7" location="'Project%20Chart'!A1" display="Project Chart"/>
    <hyperlink ref="B31" r:id="rId8" location="'Burn-down%20Chart'!A1" display="Burn-down Chart"/>
    <hyperlink ref="B32" r:id="rId9" location="'Task%20Chart'!A1" display="Task Chart"/>
    <hyperlink ref="B33" r:id="rId10" location="'Buglist'!A1" display="Buglist"/>
    <hyperlink ref="B34" r:id="rId11" location="'Pruebas%20Alfa'!A1" display="Pruebas Alfa"/>
    <hyperlink ref="B35" r:id="rId12" location="'Evaluación%20Beta'!A1" display="Evaluación Beta"/>
    <hyperlink ref="B36" r:id="rId13" location="'Matriz%20GDD'!A1" display="Matriz GDD"/>
    <hyperlink ref="B37" r:id="rId14" location="'Gantt'!A1" display="Gantt"/>
    <hyperlink ref="B38" r:id="rId15" location="'Sprint%20Review'!A1" display="Sprint Review"/>
  </hyperlink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6" t="s">
        <v>63</v>
      </c>
      <c r="B1" s="16"/>
      <c r="C1" s="16"/>
      <c r="D1" s="16"/>
      <c r="E1" s="16"/>
      <c r="F1" s="16"/>
    </row>
    <row r="2" customFormat="false" ht="15" hidden="false" customHeight="false" outlineLevel="0" collapsed="false">
      <c r="A2" s="17" t="s">
        <v>64</v>
      </c>
      <c r="B2" s="17"/>
      <c r="C2" s="17"/>
      <c r="D2" s="17"/>
      <c r="E2" s="17"/>
      <c r="F2" s="17"/>
    </row>
    <row r="3" customFormat="false" ht="30" hidden="false" customHeight="true" outlineLevel="0" collapsed="false">
      <c r="A3" s="18" t="s">
        <v>65</v>
      </c>
      <c r="B3" s="18" t="s">
        <v>66</v>
      </c>
      <c r="C3" s="18" t="s">
        <v>25</v>
      </c>
      <c r="D3" s="18" t="s">
        <v>67</v>
      </c>
      <c r="E3" s="18" t="s">
        <v>68</v>
      </c>
      <c r="F3" s="18" t="s">
        <v>69</v>
      </c>
    </row>
    <row r="4" customFormat="false" ht="28.35" hidden="false" customHeight="false" outlineLevel="0" collapsed="false">
      <c r="A4" s="19" t="n">
        <v>1</v>
      </c>
      <c r="B4" s="20" t="s">
        <v>70</v>
      </c>
      <c r="C4" s="19" t="s">
        <v>71</v>
      </c>
      <c r="D4" s="19" t="n">
        <v>3</v>
      </c>
      <c r="E4" s="19" t="n">
        <v>2</v>
      </c>
      <c r="F4" s="20" t="s">
        <v>72</v>
      </c>
    </row>
    <row r="5" customFormat="false" ht="15" hidden="false" customHeight="false" outlineLevel="0" collapsed="false">
      <c r="A5" s="19" t="n">
        <v>2</v>
      </c>
      <c r="B5" s="20" t="s">
        <v>73</v>
      </c>
      <c r="C5" s="19" t="s">
        <v>71</v>
      </c>
      <c r="D5" s="19" t="n">
        <v>4</v>
      </c>
      <c r="E5" s="19" t="n">
        <v>2</v>
      </c>
      <c r="F5" s="20" t="s">
        <v>74</v>
      </c>
    </row>
    <row r="6" customFormat="false" ht="15" hidden="false" customHeight="false" outlineLevel="0" collapsed="false">
      <c r="A6" s="19" t="n">
        <v>3</v>
      </c>
      <c r="B6" s="20" t="s">
        <v>75</v>
      </c>
      <c r="C6" s="19" t="s">
        <v>71</v>
      </c>
      <c r="D6" s="19" t="n">
        <v>3</v>
      </c>
      <c r="E6" s="19" t="n">
        <v>2</v>
      </c>
      <c r="F6" s="20" t="s">
        <v>76</v>
      </c>
    </row>
    <row r="7" customFormat="false" ht="15" hidden="false" customHeight="false" outlineLevel="0" collapsed="false">
      <c r="A7" s="19" t="n">
        <v>4</v>
      </c>
      <c r="B7" s="20" t="s">
        <v>77</v>
      </c>
      <c r="C7" s="19" t="s">
        <v>71</v>
      </c>
      <c r="D7" s="19" t="n">
        <v>2</v>
      </c>
      <c r="E7" s="19" t="n">
        <v>2</v>
      </c>
      <c r="F7" s="20" t="s">
        <v>78</v>
      </c>
    </row>
    <row r="8" customFormat="false" ht="15" hidden="false" customHeight="false" outlineLevel="0" collapsed="false">
      <c r="A8" s="19" t="n">
        <v>5</v>
      </c>
      <c r="B8" s="20" t="s">
        <v>79</v>
      </c>
      <c r="C8" s="19" t="s">
        <v>71</v>
      </c>
      <c r="D8" s="19" t="n">
        <v>5</v>
      </c>
      <c r="E8" s="19" t="n">
        <v>2</v>
      </c>
      <c r="F8" s="20" t="s">
        <v>80</v>
      </c>
    </row>
    <row r="9" customFormat="false" ht="15" hidden="false" customHeight="false" outlineLevel="0" collapsed="false">
      <c r="A9" s="19" t="n">
        <v>6</v>
      </c>
      <c r="B9" s="20" t="s">
        <v>81</v>
      </c>
      <c r="C9" s="19" t="s">
        <v>71</v>
      </c>
      <c r="D9" s="19" t="n">
        <v>6</v>
      </c>
      <c r="E9" s="19" t="n">
        <v>2</v>
      </c>
      <c r="F9" s="20" t="s">
        <v>82</v>
      </c>
    </row>
    <row r="10" customFormat="false" ht="15" hidden="false" customHeight="false" outlineLevel="0" collapsed="false">
      <c r="A10" s="19" t="n">
        <v>7</v>
      </c>
      <c r="B10" s="20" t="s">
        <v>83</v>
      </c>
      <c r="C10" s="19" t="s">
        <v>71</v>
      </c>
      <c r="D10" s="19" t="n">
        <v>4</v>
      </c>
      <c r="E10" s="19" t="n">
        <v>2</v>
      </c>
      <c r="F10" s="20" t="s">
        <v>84</v>
      </c>
    </row>
    <row r="11" customFormat="false" ht="15" hidden="false" customHeight="false" outlineLevel="0" collapsed="false">
      <c r="A11" s="19" t="n">
        <v>8</v>
      </c>
      <c r="B11" s="20" t="s">
        <v>85</v>
      </c>
      <c r="C11" s="19" t="s">
        <v>71</v>
      </c>
      <c r="D11" s="19" t="n">
        <v>6</v>
      </c>
      <c r="E11" s="19" t="n">
        <v>2</v>
      </c>
      <c r="F11" s="20" t="s">
        <v>86</v>
      </c>
    </row>
    <row r="12" customFormat="false" ht="28.35" hidden="false" customHeight="false" outlineLevel="0" collapsed="false">
      <c r="A12" s="19" t="n">
        <v>9</v>
      </c>
      <c r="B12" s="20" t="s">
        <v>87</v>
      </c>
      <c r="C12" s="19" t="s">
        <v>71</v>
      </c>
      <c r="D12" s="19" t="n">
        <v>5</v>
      </c>
      <c r="E12" s="19" t="n">
        <v>2</v>
      </c>
      <c r="F12" s="20" t="s">
        <v>88</v>
      </c>
    </row>
    <row r="13" customFormat="false" ht="28.35" hidden="false" customHeight="false" outlineLevel="0" collapsed="false">
      <c r="A13" s="19" t="n">
        <v>10</v>
      </c>
      <c r="B13" s="20" t="s">
        <v>89</v>
      </c>
      <c r="C13" s="19" t="s">
        <v>71</v>
      </c>
      <c r="D13" s="19" t="n">
        <v>7</v>
      </c>
      <c r="E13" s="19" t="n">
        <v>2</v>
      </c>
      <c r="F13" s="20" t="s">
        <v>88</v>
      </c>
    </row>
    <row r="14" customFormat="false" ht="28.35" hidden="false" customHeight="false" outlineLevel="0" collapsed="false">
      <c r="A14" s="19" t="n">
        <v>11</v>
      </c>
      <c r="B14" s="20" t="s">
        <v>90</v>
      </c>
      <c r="C14" s="19" t="s">
        <v>71</v>
      </c>
      <c r="D14" s="19" t="n">
        <v>8</v>
      </c>
      <c r="E14" s="19" t="n">
        <v>2</v>
      </c>
      <c r="F14" s="20" t="s">
        <v>91</v>
      </c>
    </row>
    <row r="15" customFormat="false" ht="28.35" hidden="false" customHeight="false" outlineLevel="0" collapsed="false">
      <c r="A15" s="19" t="n">
        <v>12</v>
      </c>
      <c r="B15" s="20" t="s">
        <v>92</v>
      </c>
      <c r="C15" s="19" t="s">
        <v>71</v>
      </c>
      <c r="D15" s="19" t="n">
        <v>3</v>
      </c>
      <c r="E15" s="19" t="n">
        <v>2</v>
      </c>
      <c r="F15" s="20" t="s">
        <v>93</v>
      </c>
    </row>
    <row r="16" customFormat="false" ht="15" hidden="false" customHeight="false" outlineLevel="0" collapsed="false">
      <c r="A16" s="19" t="n">
        <v>13</v>
      </c>
      <c r="B16" s="20" t="s">
        <v>94</v>
      </c>
      <c r="C16" s="19" t="s">
        <v>71</v>
      </c>
      <c r="D16" s="19" t="n">
        <v>2</v>
      </c>
      <c r="E16" s="19" t="n">
        <v>2</v>
      </c>
      <c r="F16" s="20" t="s">
        <v>95</v>
      </c>
    </row>
    <row r="17" customFormat="false" ht="28.35" hidden="false" customHeight="false" outlineLevel="0" collapsed="false">
      <c r="A17" s="19" t="n">
        <v>14</v>
      </c>
      <c r="B17" s="20" t="s">
        <v>96</v>
      </c>
      <c r="C17" s="19" t="s">
        <v>97</v>
      </c>
      <c r="D17" s="19" t="n">
        <v>5</v>
      </c>
      <c r="E17" s="19" t="s">
        <v>98</v>
      </c>
      <c r="F17" s="20" t="s">
        <v>99</v>
      </c>
    </row>
    <row r="18" customFormat="false" ht="28.35" hidden="false" customHeight="false" outlineLevel="0" collapsed="false">
      <c r="A18" s="19" t="n">
        <v>15</v>
      </c>
      <c r="B18" s="20" t="s">
        <v>100</v>
      </c>
      <c r="C18" s="19" t="s">
        <v>71</v>
      </c>
      <c r="D18" s="19" t="n">
        <v>3</v>
      </c>
      <c r="E18" s="19" t="n">
        <v>2</v>
      </c>
      <c r="F18" s="20" t="s">
        <v>101</v>
      </c>
    </row>
    <row r="19" customFormat="false" ht="28.35" hidden="false" customHeight="false" outlineLevel="0" collapsed="false">
      <c r="A19" s="19" t="n">
        <v>16</v>
      </c>
      <c r="B19" s="20" t="s">
        <v>102</v>
      </c>
      <c r="C19" s="19" t="s">
        <v>71</v>
      </c>
      <c r="D19" s="19" t="n">
        <v>1</v>
      </c>
      <c r="E19" s="19" t="n">
        <v>2</v>
      </c>
      <c r="F19" s="20" t="s">
        <v>103</v>
      </c>
    </row>
    <row r="20" customFormat="false" ht="15" hidden="false" customHeight="false" outlineLevel="0" collapsed="false">
      <c r="A20" s="19" t="n">
        <v>17</v>
      </c>
      <c r="B20" s="20" t="s">
        <v>104</v>
      </c>
      <c r="C20" s="19" t="s">
        <v>71</v>
      </c>
      <c r="D20" s="19" t="n">
        <v>2</v>
      </c>
      <c r="E20" s="19" t="n">
        <v>2</v>
      </c>
      <c r="F20" s="20" t="s">
        <v>105</v>
      </c>
    </row>
    <row r="21" customFormat="false" ht="15" hidden="false" customHeight="false" outlineLevel="0" collapsed="false">
      <c r="A21" s="19" t="n">
        <v>18</v>
      </c>
      <c r="B21" s="20" t="s">
        <v>106</v>
      </c>
      <c r="C21" s="19" t="s">
        <v>71</v>
      </c>
      <c r="D21" s="19" t="n">
        <v>3</v>
      </c>
      <c r="E21" s="19" t="n">
        <v>2</v>
      </c>
      <c r="F21" s="20" t="s">
        <v>107</v>
      </c>
    </row>
    <row r="22" customFormat="false" ht="28.35" hidden="false" customHeight="false" outlineLevel="0" collapsed="false">
      <c r="A22" s="19" t="n">
        <v>19</v>
      </c>
      <c r="B22" s="20" t="s">
        <v>108</v>
      </c>
      <c r="C22" s="19" t="s">
        <v>71</v>
      </c>
      <c r="D22" s="19" t="n">
        <v>3</v>
      </c>
      <c r="E22" s="19" t="n">
        <v>2</v>
      </c>
      <c r="F22" s="20" t="s">
        <v>109</v>
      </c>
    </row>
    <row r="23" customFormat="false" ht="15" hidden="false" customHeight="false" outlineLevel="0" collapsed="false">
      <c r="A23" s="19" t="n">
        <v>20</v>
      </c>
      <c r="B23" s="20" t="s">
        <v>110</v>
      </c>
      <c r="C23" s="19" t="s">
        <v>71</v>
      </c>
      <c r="D23" s="19" t="n">
        <v>1</v>
      </c>
      <c r="E23" s="19" t="n">
        <v>2</v>
      </c>
      <c r="F23" s="20" t="s">
        <v>111</v>
      </c>
    </row>
    <row r="24" customFormat="false" ht="28.35" hidden="false" customHeight="false" outlineLevel="0" collapsed="false">
      <c r="A24" s="19" t="n">
        <v>21</v>
      </c>
      <c r="B24" s="20" t="s">
        <v>112</v>
      </c>
      <c r="C24" s="19" t="s">
        <v>71</v>
      </c>
      <c r="D24" s="19" t="n">
        <v>2</v>
      </c>
      <c r="E24" s="19" t="n">
        <v>2</v>
      </c>
      <c r="F24" s="20" t="s">
        <v>113</v>
      </c>
    </row>
    <row r="25" customFormat="false" ht="15" hidden="false" customHeight="false" outlineLevel="0" collapsed="false">
      <c r="A25" s="19" t="n">
        <v>22</v>
      </c>
      <c r="B25" s="20" t="s">
        <v>114</v>
      </c>
      <c r="C25" s="19" t="s">
        <v>71</v>
      </c>
      <c r="D25" s="19" t="n">
        <v>1</v>
      </c>
      <c r="E25" s="19" t="n">
        <v>2</v>
      </c>
      <c r="F25" s="20" t="s">
        <v>115</v>
      </c>
    </row>
    <row r="26" customFormat="false" ht="15" hidden="false" customHeight="false" outlineLevel="0" collapsed="false">
      <c r="A26" s="19" t="n">
        <v>23</v>
      </c>
      <c r="B26" s="20" t="s">
        <v>116</v>
      </c>
      <c r="C26" s="19" t="s">
        <v>71</v>
      </c>
      <c r="D26" s="19" t="n">
        <v>2</v>
      </c>
      <c r="E26" s="19" t="n">
        <v>2</v>
      </c>
      <c r="F26" s="20" t="s">
        <v>117</v>
      </c>
    </row>
    <row r="27" customFormat="false" ht="41.75" hidden="false" customHeight="false" outlineLevel="0" collapsed="false">
      <c r="A27" s="19" t="n">
        <v>24</v>
      </c>
      <c r="B27" s="20" t="s">
        <v>118</v>
      </c>
      <c r="C27" s="19" t="s">
        <v>97</v>
      </c>
      <c r="D27" s="19" t="n">
        <v>1</v>
      </c>
      <c r="E27" s="19" t="s">
        <v>119</v>
      </c>
      <c r="F27" s="20" t="s">
        <v>120</v>
      </c>
    </row>
    <row r="28" customFormat="false" ht="28.35" hidden="false" customHeight="false" outlineLevel="0" collapsed="false">
      <c r="A28" s="19" t="n">
        <v>25</v>
      </c>
      <c r="B28" s="20" t="s">
        <v>121</v>
      </c>
      <c r="C28" s="19" t="s">
        <v>71</v>
      </c>
      <c r="D28" s="19" t="n">
        <v>2</v>
      </c>
      <c r="E28" s="19" t="n">
        <v>2</v>
      </c>
      <c r="F28" s="20" t="s">
        <v>122</v>
      </c>
    </row>
    <row r="29" customFormat="false" ht="28.35" hidden="false" customHeight="false" outlineLevel="0" collapsed="false">
      <c r="A29" s="19" t="n">
        <v>26</v>
      </c>
      <c r="B29" s="20" t="s">
        <v>123</v>
      </c>
      <c r="C29" s="19" t="s">
        <v>97</v>
      </c>
      <c r="D29" s="19" t="n">
        <v>6</v>
      </c>
      <c r="E29" s="19" t="s">
        <v>98</v>
      </c>
      <c r="F29" s="20" t="s">
        <v>124</v>
      </c>
    </row>
    <row r="30" customFormat="false" ht="28.35" hidden="false" customHeight="false" outlineLevel="0" collapsed="false">
      <c r="A30" s="19" t="n">
        <v>27</v>
      </c>
      <c r="B30" s="20" t="s">
        <v>125</v>
      </c>
      <c r="C30" s="19" t="s">
        <v>71</v>
      </c>
      <c r="D30" s="19" t="n">
        <v>2</v>
      </c>
      <c r="E30" s="19" t="n">
        <v>2</v>
      </c>
      <c r="F30" s="20" t="s">
        <v>126</v>
      </c>
    </row>
    <row r="31" customFormat="false" ht="28.35" hidden="false" customHeight="false" outlineLevel="0" collapsed="false">
      <c r="A31" s="19" t="n">
        <v>28</v>
      </c>
      <c r="B31" s="20" t="s">
        <v>127</v>
      </c>
      <c r="C31" s="19" t="s">
        <v>71</v>
      </c>
      <c r="D31" s="19" t="n">
        <v>1</v>
      </c>
      <c r="E31" s="19" t="n">
        <v>2</v>
      </c>
      <c r="F31" s="20" t="s">
        <v>128</v>
      </c>
    </row>
    <row r="32" customFormat="false" ht="28.35" hidden="false" customHeight="false" outlineLevel="0" collapsed="false">
      <c r="A32" s="19" t="n">
        <v>29</v>
      </c>
      <c r="B32" s="20" t="s">
        <v>129</v>
      </c>
      <c r="C32" s="19" t="s">
        <v>71</v>
      </c>
      <c r="D32" s="19" t="n">
        <v>18</v>
      </c>
      <c r="E32" s="19" t="n">
        <v>1</v>
      </c>
      <c r="F32" s="20" t="s">
        <v>130</v>
      </c>
    </row>
  </sheetData>
  <mergeCells count="2">
    <mergeCell ref="A1:F1"/>
    <mergeCell ref="A2:F2"/>
  </mergeCells>
  <conditionalFormatting sqref="C4:C32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C4:C32" type="list">
      <formula1>"Terminado,En desarrollo,Planeado,Sin planear"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6" t="s">
        <v>131</v>
      </c>
      <c r="B1" s="16"/>
      <c r="C1" s="16"/>
      <c r="D1" s="16"/>
      <c r="E1" s="16"/>
      <c r="F1" s="16"/>
      <c r="G1" s="16"/>
    </row>
    <row r="2" customFormat="false" ht="15" hidden="false" customHeight="false" outlineLevel="0" collapsed="false">
      <c r="A2" s="17" t="s">
        <v>132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68</v>
      </c>
      <c r="B3" s="18" t="s">
        <v>23</v>
      </c>
      <c r="C3" s="18" t="s">
        <v>67</v>
      </c>
      <c r="D3" s="18" t="s">
        <v>24</v>
      </c>
      <c r="E3" s="18" t="s">
        <v>25</v>
      </c>
      <c r="F3" s="18" t="s">
        <v>133</v>
      </c>
      <c r="G3" s="18" t="s">
        <v>134</v>
      </c>
    </row>
    <row r="4" customFormat="false" ht="28.35" hidden="false" customHeight="false" outlineLevel="0" collapsed="false">
      <c r="A4" s="19" t="n">
        <v>1</v>
      </c>
      <c r="B4" s="21" t="n">
        <v>46266</v>
      </c>
      <c r="C4" s="22" t="n">
        <f aca="false">D4-B4+1</f>
        <v>18</v>
      </c>
      <c r="D4" s="21" t="n">
        <v>46283</v>
      </c>
      <c r="E4" s="19" t="s">
        <v>71</v>
      </c>
      <c r="F4" s="20" t="s">
        <v>135</v>
      </c>
      <c r="G4" s="20" t="s">
        <v>136</v>
      </c>
    </row>
    <row r="5" customFormat="false" ht="41.75" hidden="false" customHeight="false" outlineLevel="0" collapsed="false">
      <c r="A5" s="19" t="n">
        <v>2</v>
      </c>
      <c r="B5" s="21" t="n">
        <v>46284</v>
      </c>
      <c r="C5" s="22" t="n">
        <f aca="false">D5-B5+1</f>
        <v>42</v>
      </c>
      <c r="D5" s="21" t="n">
        <v>46325</v>
      </c>
      <c r="E5" s="19" t="s">
        <v>97</v>
      </c>
      <c r="F5" s="20" t="s">
        <v>137</v>
      </c>
      <c r="G5" s="20" t="s">
        <v>138</v>
      </c>
    </row>
    <row r="6" customFormat="false" ht="28.35" hidden="false" customHeight="false" outlineLevel="0" collapsed="false">
      <c r="A6" s="19" t="n">
        <v>3</v>
      </c>
      <c r="B6" s="21" t="n">
        <v>46326</v>
      </c>
      <c r="C6" s="22" t="n">
        <f aca="false">D6-B6+1</f>
        <v>21</v>
      </c>
      <c r="D6" s="21" t="n">
        <v>46346</v>
      </c>
      <c r="E6" s="19" t="s">
        <v>139</v>
      </c>
      <c r="F6" s="20" t="s">
        <v>140</v>
      </c>
      <c r="G6" s="20" t="s">
        <v>141</v>
      </c>
    </row>
    <row r="7" customFormat="false" ht="41.75" hidden="false" customHeight="false" outlineLevel="0" collapsed="false">
      <c r="A7" s="19" t="n">
        <v>4</v>
      </c>
      <c r="B7" s="21" t="n">
        <v>46347</v>
      </c>
      <c r="C7" s="22" t="n">
        <f aca="false">D7-B7+1</f>
        <v>10</v>
      </c>
      <c r="D7" s="21" t="n">
        <v>46356</v>
      </c>
      <c r="E7" s="19" t="s">
        <v>139</v>
      </c>
      <c r="F7" s="20" t="s">
        <v>142</v>
      </c>
      <c r="G7" s="20" t="s">
        <v>143</v>
      </c>
    </row>
  </sheetData>
  <mergeCells count="2">
    <mergeCell ref="A1:G1"/>
    <mergeCell ref="A2:G2"/>
  </mergeCells>
  <conditionalFormatting sqref="E4:E7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J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58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6" t="s">
        <v>144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false" outlineLevel="0" collapsed="false">
      <c r="A2" s="17" t="s">
        <v>145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30" hidden="false" customHeight="true" outlineLevel="0" collapsed="false">
      <c r="A3" s="18" t="s">
        <v>22</v>
      </c>
      <c r="B3" s="18" t="s">
        <v>146</v>
      </c>
      <c r="C3" s="18" t="s">
        <v>65</v>
      </c>
      <c r="D3" s="18" t="s">
        <v>147</v>
      </c>
      <c r="E3" s="18" t="s">
        <v>148</v>
      </c>
      <c r="F3" s="18" t="s">
        <v>149</v>
      </c>
      <c r="G3" s="18" t="s">
        <v>25</v>
      </c>
      <c r="H3" s="18" t="s">
        <v>150</v>
      </c>
      <c r="I3" s="18" t="s">
        <v>23</v>
      </c>
      <c r="J3" s="18" t="s">
        <v>24</v>
      </c>
    </row>
    <row r="4" customFormat="false" ht="15" hidden="false" customHeight="false" outlineLevel="0" collapsed="false">
      <c r="A4" s="19" t="n">
        <v>1</v>
      </c>
      <c r="B4" s="19" t="s">
        <v>151</v>
      </c>
      <c r="C4" s="19" t="n">
        <v>29</v>
      </c>
      <c r="D4" s="20" t="s">
        <v>152</v>
      </c>
      <c r="E4" s="20" t="s">
        <v>3</v>
      </c>
      <c r="F4" s="20" t="s">
        <v>153</v>
      </c>
      <c r="G4" s="19" t="s">
        <v>71</v>
      </c>
      <c r="H4" s="19" t="n">
        <v>3</v>
      </c>
      <c r="I4" s="21" t="n">
        <v>46266</v>
      </c>
      <c r="J4" s="21" t="n">
        <v>46283</v>
      </c>
    </row>
    <row r="5" customFormat="false" ht="15" hidden="false" customHeight="false" outlineLevel="0" collapsed="false">
      <c r="A5" s="19" t="n">
        <v>1</v>
      </c>
      <c r="B5" s="19" t="s">
        <v>154</v>
      </c>
      <c r="C5" s="19" t="n">
        <v>29</v>
      </c>
      <c r="D5" s="20" t="s">
        <v>155</v>
      </c>
      <c r="E5" s="20" t="s">
        <v>3</v>
      </c>
      <c r="F5" s="20" t="s">
        <v>153</v>
      </c>
      <c r="G5" s="19" t="s">
        <v>71</v>
      </c>
      <c r="H5" s="19" t="n">
        <v>2</v>
      </c>
      <c r="I5" s="21" t="n">
        <v>46266</v>
      </c>
      <c r="J5" s="21" t="n">
        <v>46283</v>
      </c>
    </row>
    <row r="6" customFormat="false" ht="15" hidden="false" customHeight="false" outlineLevel="0" collapsed="false">
      <c r="A6" s="19" t="n">
        <v>1</v>
      </c>
      <c r="B6" s="19" t="s">
        <v>156</v>
      </c>
      <c r="C6" s="19" t="n">
        <v>29</v>
      </c>
      <c r="D6" s="20" t="s">
        <v>157</v>
      </c>
      <c r="E6" s="20" t="s">
        <v>3</v>
      </c>
      <c r="F6" s="20" t="s">
        <v>153</v>
      </c>
      <c r="G6" s="19" t="s">
        <v>71</v>
      </c>
      <c r="H6" s="19" t="n">
        <v>4</v>
      </c>
      <c r="I6" s="21" t="n">
        <v>46266</v>
      </c>
      <c r="J6" s="21" t="n">
        <v>46283</v>
      </c>
    </row>
    <row r="7" customFormat="false" ht="15" hidden="false" customHeight="false" outlineLevel="0" collapsed="false">
      <c r="A7" s="19" t="n">
        <v>1</v>
      </c>
      <c r="B7" s="19" t="s">
        <v>158</v>
      </c>
      <c r="C7" s="19" t="n">
        <v>29</v>
      </c>
      <c r="D7" s="20" t="s">
        <v>159</v>
      </c>
      <c r="E7" s="20" t="s">
        <v>3</v>
      </c>
      <c r="F7" s="20" t="s">
        <v>153</v>
      </c>
      <c r="G7" s="19" t="s">
        <v>71</v>
      </c>
      <c r="H7" s="19" t="n">
        <v>5</v>
      </c>
      <c r="I7" s="21" t="n">
        <v>46266</v>
      </c>
      <c r="J7" s="21" t="n">
        <v>46283</v>
      </c>
    </row>
    <row r="8" customFormat="false" ht="15" hidden="false" customHeight="false" outlineLevel="0" collapsed="false">
      <c r="A8" s="19" t="n">
        <v>1</v>
      </c>
      <c r="B8" s="19" t="s">
        <v>160</v>
      </c>
      <c r="C8" s="19" t="n">
        <v>29</v>
      </c>
      <c r="D8" s="20" t="s">
        <v>161</v>
      </c>
      <c r="E8" s="20" t="s">
        <v>3</v>
      </c>
      <c r="F8" s="20" t="s">
        <v>153</v>
      </c>
      <c r="G8" s="19" t="s">
        <v>71</v>
      </c>
      <c r="H8" s="19" t="n">
        <v>3</v>
      </c>
      <c r="I8" s="21" t="n">
        <v>46266</v>
      </c>
      <c r="J8" s="21" t="n">
        <v>46283</v>
      </c>
    </row>
    <row r="9" customFormat="false" ht="15" hidden="false" customHeight="false" outlineLevel="0" collapsed="false">
      <c r="A9" s="19" t="n">
        <v>1</v>
      </c>
      <c r="B9" s="19" t="s">
        <v>162</v>
      </c>
      <c r="C9" s="19" t="n">
        <v>29</v>
      </c>
      <c r="D9" s="20" t="s">
        <v>163</v>
      </c>
      <c r="E9" s="20" t="s">
        <v>3</v>
      </c>
      <c r="F9" s="20" t="s">
        <v>153</v>
      </c>
      <c r="G9" s="19" t="s">
        <v>71</v>
      </c>
      <c r="H9" s="19" t="n">
        <v>2</v>
      </c>
      <c r="I9" s="21" t="n">
        <v>46266</v>
      </c>
      <c r="J9" s="21" t="n">
        <v>46283</v>
      </c>
    </row>
    <row r="10" customFormat="false" ht="15" hidden="false" customHeight="false" outlineLevel="0" collapsed="false">
      <c r="A10" s="19" t="n">
        <v>1</v>
      </c>
      <c r="B10" s="19" t="s">
        <v>164</v>
      </c>
      <c r="C10" s="19" t="n">
        <v>29</v>
      </c>
      <c r="D10" s="20" t="s">
        <v>165</v>
      </c>
      <c r="E10" s="20" t="s">
        <v>3</v>
      </c>
      <c r="F10" s="20" t="s">
        <v>153</v>
      </c>
      <c r="G10" s="19" t="s">
        <v>71</v>
      </c>
      <c r="H10" s="19" t="n">
        <v>12</v>
      </c>
      <c r="I10" s="21" t="n">
        <v>46266</v>
      </c>
      <c r="J10" s="21" t="n">
        <v>46295</v>
      </c>
    </row>
    <row r="11" customFormat="false" ht="15" hidden="false" customHeight="false" outlineLevel="0" collapsed="false">
      <c r="A11" s="19" t="n">
        <v>1</v>
      </c>
      <c r="B11" s="19" t="s">
        <v>166</v>
      </c>
      <c r="C11" s="19" t="n">
        <v>29</v>
      </c>
      <c r="D11" s="20" t="s">
        <v>167</v>
      </c>
      <c r="E11" s="20" t="s">
        <v>3</v>
      </c>
      <c r="F11" s="20" t="s">
        <v>153</v>
      </c>
      <c r="G11" s="19" t="s">
        <v>71</v>
      </c>
      <c r="H11" s="19" t="n">
        <v>4</v>
      </c>
      <c r="I11" s="21" t="n">
        <v>46266</v>
      </c>
      <c r="J11" s="21" t="n">
        <v>46295</v>
      </c>
    </row>
    <row r="12" customFormat="false" ht="15" hidden="false" customHeight="false" outlineLevel="0" collapsed="false">
      <c r="A12" s="19" t="n">
        <v>1</v>
      </c>
      <c r="B12" s="19" t="s">
        <v>168</v>
      </c>
      <c r="C12" s="19" t="n">
        <v>29</v>
      </c>
      <c r="D12" s="20" t="s">
        <v>169</v>
      </c>
      <c r="E12" s="20" t="s">
        <v>3</v>
      </c>
      <c r="F12" s="20" t="s">
        <v>153</v>
      </c>
      <c r="G12" s="19" t="s">
        <v>71</v>
      </c>
      <c r="H12" s="19" t="n">
        <v>3</v>
      </c>
      <c r="I12" s="21" t="n">
        <v>46266</v>
      </c>
      <c r="J12" s="21" t="n">
        <v>46283</v>
      </c>
    </row>
    <row r="13" customFormat="false" ht="15" hidden="false" customHeight="false" outlineLevel="0" collapsed="false">
      <c r="A13" s="19" t="n">
        <v>1</v>
      </c>
      <c r="B13" s="19" t="s">
        <v>170</v>
      </c>
      <c r="C13" s="19" t="n">
        <v>29</v>
      </c>
      <c r="D13" s="20" t="s">
        <v>171</v>
      </c>
      <c r="E13" s="20" t="s">
        <v>3</v>
      </c>
      <c r="F13" s="20" t="s">
        <v>153</v>
      </c>
      <c r="G13" s="19" t="s">
        <v>71</v>
      </c>
      <c r="H13" s="19" t="n">
        <v>2</v>
      </c>
      <c r="I13" s="21" t="n">
        <v>46266</v>
      </c>
      <c r="J13" s="21" t="n">
        <v>46283</v>
      </c>
    </row>
    <row r="14" customFormat="false" ht="15" hidden="false" customHeight="false" outlineLevel="0" collapsed="false">
      <c r="A14" s="19" t="n">
        <v>2</v>
      </c>
      <c r="B14" s="19" t="s">
        <v>172</v>
      </c>
      <c r="C14" s="19" t="n">
        <v>15</v>
      </c>
      <c r="D14" s="20" t="s">
        <v>173</v>
      </c>
      <c r="E14" s="20" t="s">
        <v>3</v>
      </c>
      <c r="F14" s="20" t="s">
        <v>174</v>
      </c>
      <c r="G14" s="19" t="s">
        <v>71</v>
      </c>
      <c r="H14" s="19" t="n">
        <v>6</v>
      </c>
      <c r="I14" s="21" t="n">
        <v>46284</v>
      </c>
      <c r="J14" s="21" t="n">
        <v>46295</v>
      </c>
    </row>
    <row r="15" customFormat="false" ht="15" hidden="false" customHeight="false" outlineLevel="0" collapsed="false">
      <c r="A15" s="19" t="n">
        <v>2</v>
      </c>
      <c r="B15" s="19" t="s">
        <v>175</v>
      </c>
      <c r="C15" s="19" t="n">
        <v>2</v>
      </c>
      <c r="D15" s="20" t="s">
        <v>176</v>
      </c>
      <c r="E15" s="20" t="s">
        <v>3</v>
      </c>
      <c r="F15" s="20" t="s">
        <v>174</v>
      </c>
      <c r="G15" s="19" t="s">
        <v>71</v>
      </c>
      <c r="H15" s="19" t="n">
        <v>4</v>
      </c>
      <c r="I15" s="21" t="n">
        <v>46291</v>
      </c>
      <c r="J15" s="21" t="n">
        <v>46295</v>
      </c>
    </row>
    <row r="16" customFormat="false" ht="15" hidden="false" customHeight="false" outlineLevel="0" collapsed="false">
      <c r="A16" s="19" t="n">
        <v>2</v>
      </c>
      <c r="B16" s="19" t="s">
        <v>177</v>
      </c>
      <c r="C16" s="19" t="n">
        <v>1</v>
      </c>
      <c r="D16" s="20" t="s">
        <v>178</v>
      </c>
      <c r="E16" s="20" t="s">
        <v>3</v>
      </c>
      <c r="F16" s="20" t="s">
        <v>174</v>
      </c>
      <c r="G16" s="19" t="s">
        <v>71</v>
      </c>
      <c r="H16" s="19" t="n">
        <v>8</v>
      </c>
      <c r="I16" s="21" t="n">
        <v>46291</v>
      </c>
      <c r="J16" s="21" t="n">
        <v>46295</v>
      </c>
    </row>
    <row r="17" customFormat="false" ht="15" hidden="false" customHeight="false" outlineLevel="0" collapsed="false">
      <c r="A17" s="19" t="n">
        <v>2</v>
      </c>
      <c r="B17" s="19" t="s">
        <v>179</v>
      </c>
      <c r="C17" s="19" t="n">
        <v>4</v>
      </c>
      <c r="D17" s="20" t="s">
        <v>180</v>
      </c>
      <c r="E17" s="20" t="s">
        <v>3</v>
      </c>
      <c r="F17" s="20" t="s">
        <v>174</v>
      </c>
      <c r="G17" s="19" t="s">
        <v>71</v>
      </c>
      <c r="H17" s="19" t="n">
        <v>3</v>
      </c>
      <c r="I17" s="21" t="n">
        <v>46294</v>
      </c>
      <c r="J17" s="21" t="n">
        <v>46295</v>
      </c>
    </row>
    <row r="18" customFormat="false" ht="15" hidden="false" customHeight="false" outlineLevel="0" collapsed="false">
      <c r="A18" s="19" t="n">
        <v>2</v>
      </c>
      <c r="B18" s="19" t="s">
        <v>181</v>
      </c>
      <c r="C18" s="19" t="n">
        <v>2</v>
      </c>
      <c r="D18" s="20" t="s">
        <v>182</v>
      </c>
      <c r="E18" s="20" t="s">
        <v>3</v>
      </c>
      <c r="F18" s="20" t="s">
        <v>174</v>
      </c>
      <c r="G18" s="19" t="s">
        <v>71</v>
      </c>
      <c r="H18" s="19" t="n">
        <v>6</v>
      </c>
      <c r="I18" s="21" t="n">
        <v>46294</v>
      </c>
      <c r="J18" s="21" t="n">
        <v>46295</v>
      </c>
    </row>
    <row r="19" customFormat="false" ht="28.35" hidden="false" customHeight="false" outlineLevel="0" collapsed="false">
      <c r="A19" s="19" t="n">
        <v>2</v>
      </c>
      <c r="B19" s="19" t="s">
        <v>183</v>
      </c>
      <c r="C19" s="19" t="n">
        <v>3</v>
      </c>
      <c r="D19" s="20" t="s">
        <v>184</v>
      </c>
      <c r="E19" s="20" t="s">
        <v>3</v>
      </c>
      <c r="F19" s="20" t="s">
        <v>174</v>
      </c>
      <c r="G19" s="19" t="s">
        <v>71</v>
      </c>
      <c r="H19" s="19" t="n">
        <v>6</v>
      </c>
      <c r="I19" s="21" t="n">
        <v>46294</v>
      </c>
      <c r="J19" s="21" t="n">
        <v>46295</v>
      </c>
    </row>
    <row r="20" customFormat="false" ht="15" hidden="false" customHeight="false" outlineLevel="0" collapsed="false">
      <c r="A20" s="19" t="n">
        <v>2</v>
      </c>
      <c r="B20" s="19" t="s">
        <v>185</v>
      </c>
      <c r="C20" s="19" t="n">
        <v>15</v>
      </c>
      <c r="D20" s="20" t="s">
        <v>186</v>
      </c>
      <c r="E20" s="20" t="s">
        <v>3</v>
      </c>
      <c r="F20" s="20" t="s">
        <v>174</v>
      </c>
      <c r="G20" s="19" t="s">
        <v>71</v>
      </c>
      <c r="H20" s="19" t="n">
        <v>5</v>
      </c>
      <c r="I20" s="21" t="n">
        <v>46295</v>
      </c>
      <c r="J20" s="21" t="n">
        <v>46295</v>
      </c>
    </row>
    <row r="21" customFormat="false" ht="15" hidden="false" customHeight="false" outlineLevel="0" collapsed="false">
      <c r="A21" s="19" t="n">
        <v>2</v>
      </c>
      <c r="B21" s="19" t="s">
        <v>187</v>
      </c>
      <c r="C21" s="19" t="n">
        <v>14</v>
      </c>
      <c r="D21" s="20" t="s">
        <v>188</v>
      </c>
      <c r="E21" s="20" t="s">
        <v>3</v>
      </c>
      <c r="F21" s="20" t="s">
        <v>174</v>
      </c>
      <c r="G21" s="19" t="s">
        <v>71</v>
      </c>
      <c r="H21" s="19" t="n">
        <v>10</v>
      </c>
      <c r="I21" s="21" t="n">
        <v>46296</v>
      </c>
      <c r="J21" s="21" t="n">
        <v>46299</v>
      </c>
    </row>
    <row r="22" customFormat="false" ht="15" hidden="false" customHeight="false" outlineLevel="0" collapsed="false">
      <c r="A22" s="19" t="n">
        <v>2</v>
      </c>
      <c r="B22" s="19" t="s">
        <v>189</v>
      </c>
      <c r="C22" s="19" t="n">
        <v>6</v>
      </c>
      <c r="D22" s="20" t="s">
        <v>190</v>
      </c>
      <c r="E22" s="20" t="s">
        <v>3</v>
      </c>
      <c r="F22" s="20" t="s">
        <v>174</v>
      </c>
      <c r="G22" s="19" t="s">
        <v>71</v>
      </c>
      <c r="H22" s="19" t="n">
        <v>6</v>
      </c>
      <c r="I22" s="21" t="n">
        <v>46297</v>
      </c>
      <c r="J22" s="21" t="n">
        <v>46299</v>
      </c>
    </row>
    <row r="23" customFormat="false" ht="15" hidden="false" customHeight="false" outlineLevel="0" collapsed="false">
      <c r="A23" s="19" t="n">
        <v>2</v>
      </c>
      <c r="B23" s="19" t="s">
        <v>191</v>
      </c>
      <c r="C23" s="19" t="n">
        <v>8</v>
      </c>
      <c r="D23" s="20" t="s">
        <v>192</v>
      </c>
      <c r="E23" s="20" t="s">
        <v>3</v>
      </c>
      <c r="F23" s="20" t="s">
        <v>174</v>
      </c>
      <c r="G23" s="19" t="s">
        <v>71</v>
      </c>
      <c r="H23" s="19" t="n">
        <v>6</v>
      </c>
      <c r="I23" s="21" t="n">
        <v>46297</v>
      </c>
      <c r="J23" s="21" t="n">
        <v>46299</v>
      </c>
    </row>
    <row r="24" customFormat="false" ht="15" hidden="false" customHeight="false" outlineLevel="0" collapsed="false">
      <c r="A24" s="19" t="n">
        <v>2</v>
      </c>
      <c r="B24" s="19" t="s">
        <v>193</v>
      </c>
      <c r="C24" s="19" t="n">
        <v>10</v>
      </c>
      <c r="D24" s="20" t="s">
        <v>194</v>
      </c>
      <c r="E24" s="20" t="s">
        <v>3</v>
      </c>
      <c r="F24" s="20" t="s">
        <v>174</v>
      </c>
      <c r="G24" s="19" t="s">
        <v>71</v>
      </c>
      <c r="H24" s="19" t="n">
        <v>6</v>
      </c>
      <c r="I24" s="21" t="n">
        <v>46298</v>
      </c>
      <c r="J24" s="21" t="n">
        <v>46299</v>
      </c>
    </row>
    <row r="25" customFormat="false" ht="15" hidden="false" customHeight="false" outlineLevel="0" collapsed="false">
      <c r="A25" s="19" t="n">
        <v>2</v>
      </c>
      <c r="B25" s="19" t="s">
        <v>195</v>
      </c>
      <c r="C25" s="19" t="n">
        <v>11</v>
      </c>
      <c r="D25" s="20" t="s">
        <v>196</v>
      </c>
      <c r="E25" s="20" t="s">
        <v>3</v>
      </c>
      <c r="F25" s="20" t="s">
        <v>174</v>
      </c>
      <c r="G25" s="19" t="s">
        <v>71</v>
      </c>
      <c r="H25" s="19" t="n">
        <v>8</v>
      </c>
      <c r="I25" s="21" t="n">
        <v>46298</v>
      </c>
      <c r="J25" s="21" t="n">
        <v>46299</v>
      </c>
    </row>
    <row r="26" customFormat="false" ht="15" hidden="false" customHeight="false" outlineLevel="0" collapsed="false">
      <c r="A26" s="19" t="n">
        <v>2</v>
      </c>
      <c r="B26" s="19" t="s">
        <v>197</v>
      </c>
      <c r="C26" s="19" t="n">
        <v>12</v>
      </c>
      <c r="D26" s="20" t="s">
        <v>198</v>
      </c>
      <c r="E26" s="20" t="s">
        <v>3</v>
      </c>
      <c r="F26" s="20" t="s">
        <v>174</v>
      </c>
      <c r="G26" s="19" t="s">
        <v>71</v>
      </c>
      <c r="H26" s="19" t="n">
        <v>3</v>
      </c>
      <c r="I26" s="21" t="n">
        <v>46299</v>
      </c>
      <c r="J26" s="21" t="n">
        <v>46299</v>
      </c>
    </row>
    <row r="27" customFormat="false" ht="15" hidden="false" customHeight="false" outlineLevel="0" collapsed="false">
      <c r="A27" s="19" t="n">
        <v>2</v>
      </c>
      <c r="B27" s="19" t="s">
        <v>199</v>
      </c>
      <c r="C27" s="19" t="n">
        <v>15</v>
      </c>
      <c r="D27" s="20" t="s">
        <v>200</v>
      </c>
      <c r="E27" s="20" t="s">
        <v>3</v>
      </c>
      <c r="F27" s="20" t="s">
        <v>174</v>
      </c>
      <c r="G27" s="19" t="s">
        <v>71</v>
      </c>
      <c r="H27" s="19" t="n">
        <v>5</v>
      </c>
      <c r="I27" s="21" t="n">
        <v>46299</v>
      </c>
      <c r="J27" s="21" t="n">
        <v>46299</v>
      </c>
    </row>
    <row r="28" customFormat="false" ht="15" hidden="false" customHeight="false" outlineLevel="0" collapsed="false">
      <c r="A28" s="19" t="n">
        <v>2</v>
      </c>
      <c r="B28" s="19" t="s">
        <v>201</v>
      </c>
      <c r="C28" s="19" t="n">
        <v>18</v>
      </c>
      <c r="D28" s="20" t="s">
        <v>202</v>
      </c>
      <c r="E28" s="20" t="s">
        <v>3</v>
      </c>
      <c r="F28" s="20" t="s">
        <v>174</v>
      </c>
      <c r="G28" s="19" t="s">
        <v>71</v>
      </c>
      <c r="H28" s="19" t="n">
        <v>5</v>
      </c>
      <c r="I28" s="21" t="n">
        <v>46299</v>
      </c>
      <c r="J28" s="21" t="n">
        <v>46299</v>
      </c>
    </row>
    <row r="29" customFormat="false" ht="15" hidden="false" customHeight="false" outlineLevel="0" collapsed="false">
      <c r="A29" s="19" t="n">
        <v>2</v>
      </c>
      <c r="B29" s="19" t="s">
        <v>203</v>
      </c>
      <c r="C29" s="19" t="n">
        <v>20</v>
      </c>
      <c r="D29" s="20" t="s">
        <v>204</v>
      </c>
      <c r="E29" s="20" t="s">
        <v>3</v>
      </c>
      <c r="F29" s="20" t="s">
        <v>174</v>
      </c>
      <c r="G29" s="19" t="s">
        <v>71</v>
      </c>
      <c r="H29" s="19" t="n">
        <v>4</v>
      </c>
      <c r="I29" s="21" t="n">
        <v>46299</v>
      </c>
      <c r="J29" s="21" t="n">
        <v>46299</v>
      </c>
    </row>
    <row r="30" customFormat="false" ht="15" hidden="false" customHeight="false" outlineLevel="0" collapsed="false">
      <c r="A30" s="19" t="n">
        <v>2</v>
      </c>
      <c r="B30" s="19" t="s">
        <v>205</v>
      </c>
      <c r="C30" s="19" t="n">
        <v>19</v>
      </c>
      <c r="D30" s="20" t="s">
        <v>206</v>
      </c>
      <c r="E30" s="20" t="s">
        <v>3</v>
      </c>
      <c r="F30" s="20" t="s">
        <v>174</v>
      </c>
      <c r="G30" s="19" t="s">
        <v>71</v>
      </c>
      <c r="H30" s="19" t="n">
        <v>6</v>
      </c>
      <c r="I30" s="21" t="n">
        <v>46300</v>
      </c>
      <c r="J30" s="21" t="n">
        <v>46300</v>
      </c>
    </row>
    <row r="31" customFormat="false" ht="15" hidden="false" customHeight="false" outlineLevel="0" collapsed="false">
      <c r="A31" s="19" t="n">
        <v>2</v>
      </c>
      <c r="B31" s="19" t="s">
        <v>207</v>
      </c>
      <c r="C31" s="19" t="n">
        <v>19</v>
      </c>
      <c r="D31" s="20" t="s">
        <v>208</v>
      </c>
      <c r="E31" s="20" t="s">
        <v>3</v>
      </c>
      <c r="F31" s="20" t="s">
        <v>174</v>
      </c>
      <c r="G31" s="19" t="s">
        <v>71</v>
      </c>
      <c r="H31" s="19" t="n">
        <v>4</v>
      </c>
      <c r="I31" s="21" t="n">
        <v>46300</v>
      </c>
      <c r="J31" s="21" t="n">
        <v>46300</v>
      </c>
    </row>
    <row r="32" customFormat="false" ht="15" hidden="false" customHeight="false" outlineLevel="0" collapsed="false">
      <c r="A32" s="19" t="n">
        <v>2</v>
      </c>
      <c r="B32" s="19" t="s">
        <v>209</v>
      </c>
      <c r="C32" s="19" t="n">
        <v>1</v>
      </c>
      <c r="D32" s="20" t="s">
        <v>210</v>
      </c>
      <c r="E32" s="20" t="s">
        <v>3</v>
      </c>
      <c r="F32" s="20" t="s">
        <v>174</v>
      </c>
      <c r="G32" s="19" t="s">
        <v>71</v>
      </c>
      <c r="H32" s="19" t="n">
        <v>4</v>
      </c>
      <c r="I32" s="21" t="n">
        <v>46300</v>
      </c>
      <c r="J32" s="21" t="n">
        <v>46300</v>
      </c>
    </row>
    <row r="33" customFormat="false" ht="28.35" hidden="false" customHeight="false" outlineLevel="0" collapsed="false">
      <c r="A33" s="19" t="n">
        <v>2</v>
      </c>
      <c r="B33" s="19" t="s">
        <v>211</v>
      </c>
      <c r="C33" s="19" t="n">
        <v>23</v>
      </c>
      <c r="D33" s="20" t="s">
        <v>212</v>
      </c>
      <c r="E33" s="20" t="s">
        <v>3</v>
      </c>
      <c r="F33" s="20" t="s">
        <v>174</v>
      </c>
      <c r="G33" s="19" t="s">
        <v>71</v>
      </c>
      <c r="H33" s="19" t="n">
        <v>6</v>
      </c>
      <c r="I33" s="21" t="n">
        <v>46300</v>
      </c>
      <c r="J33" s="21" t="n">
        <v>46300</v>
      </c>
    </row>
    <row r="34" customFormat="false" ht="15" hidden="false" customHeight="false" outlineLevel="0" collapsed="false">
      <c r="A34" s="19" t="n">
        <v>2</v>
      </c>
      <c r="B34" s="19" t="s">
        <v>213</v>
      </c>
      <c r="C34" s="19" t="n">
        <v>13</v>
      </c>
      <c r="D34" s="20" t="s">
        <v>214</v>
      </c>
      <c r="E34" s="20" t="s">
        <v>3</v>
      </c>
      <c r="F34" s="20" t="s">
        <v>174</v>
      </c>
      <c r="G34" s="19" t="s">
        <v>71</v>
      </c>
      <c r="H34" s="19" t="n">
        <v>2</v>
      </c>
      <c r="I34" s="21" t="n">
        <v>46300</v>
      </c>
      <c r="J34" s="21" t="n">
        <v>46300</v>
      </c>
    </row>
    <row r="35" customFormat="false" ht="15" hidden="false" customHeight="false" outlineLevel="0" collapsed="false">
      <c r="A35" s="19" t="n">
        <v>2</v>
      </c>
      <c r="B35" s="19" t="s">
        <v>215</v>
      </c>
      <c r="C35" s="19" t="n">
        <v>11</v>
      </c>
      <c r="D35" s="20" t="s">
        <v>216</v>
      </c>
      <c r="E35" s="20" t="s">
        <v>3</v>
      </c>
      <c r="F35" s="20" t="s">
        <v>174</v>
      </c>
      <c r="G35" s="19" t="s">
        <v>71</v>
      </c>
      <c r="H35" s="19" t="n">
        <v>5</v>
      </c>
      <c r="I35" s="21" t="n">
        <v>46300</v>
      </c>
      <c r="J35" s="21" t="n">
        <v>46300</v>
      </c>
    </row>
    <row r="36" customFormat="false" ht="15" hidden="false" customHeight="false" outlineLevel="0" collapsed="false">
      <c r="A36" s="19" t="n">
        <v>2</v>
      </c>
      <c r="B36" s="19" t="s">
        <v>217</v>
      </c>
      <c r="C36" s="19" t="n">
        <v>9</v>
      </c>
      <c r="D36" s="20" t="s">
        <v>218</v>
      </c>
      <c r="E36" s="20" t="s">
        <v>3</v>
      </c>
      <c r="F36" s="20" t="s">
        <v>174</v>
      </c>
      <c r="G36" s="19" t="s">
        <v>71</v>
      </c>
      <c r="H36" s="19" t="n">
        <v>4</v>
      </c>
      <c r="I36" s="21" t="n">
        <v>46300</v>
      </c>
      <c r="J36" s="21" t="n">
        <v>46300</v>
      </c>
    </row>
    <row r="37" customFormat="false" ht="15" hidden="false" customHeight="false" outlineLevel="0" collapsed="false">
      <c r="A37" s="19" t="n">
        <v>2</v>
      </c>
      <c r="B37" s="19" t="s">
        <v>219</v>
      </c>
      <c r="C37" s="19" t="n">
        <v>22</v>
      </c>
      <c r="D37" s="20" t="s">
        <v>220</v>
      </c>
      <c r="E37" s="20" t="s">
        <v>3</v>
      </c>
      <c r="F37" s="20" t="s">
        <v>174</v>
      </c>
      <c r="G37" s="19" t="s">
        <v>71</v>
      </c>
      <c r="H37" s="19" t="n">
        <v>3</v>
      </c>
      <c r="I37" s="21" t="n">
        <v>46300</v>
      </c>
      <c r="J37" s="21" t="n">
        <v>46300</v>
      </c>
    </row>
    <row r="38" customFormat="false" ht="15" hidden="false" customHeight="false" outlineLevel="0" collapsed="false">
      <c r="A38" s="19" t="n">
        <v>2</v>
      </c>
      <c r="B38" s="19" t="s">
        <v>221</v>
      </c>
      <c r="C38" s="19" t="n">
        <v>16</v>
      </c>
      <c r="D38" s="20" t="s">
        <v>222</v>
      </c>
      <c r="E38" s="20" t="s">
        <v>3</v>
      </c>
      <c r="F38" s="20" t="s">
        <v>174</v>
      </c>
      <c r="G38" s="19" t="s">
        <v>71</v>
      </c>
      <c r="H38" s="19" t="n">
        <v>4</v>
      </c>
      <c r="I38" s="21" t="n">
        <v>46300</v>
      </c>
      <c r="J38" s="21" t="n">
        <v>46300</v>
      </c>
    </row>
    <row r="39" customFormat="false" ht="15" hidden="false" customHeight="false" outlineLevel="0" collapsed="false">
      <c r="A39" s="19" t="n">
        <v>2</v>
      </c>
      <c r="B39" s="19" t="s">
        <v>223</v>
      </c>
      <c r="C39" s="19" t="n">
        <v>17</v>
      </c>
      <c r="D39" s="20" t="s">
        <v>224</v>
      </c>
      <c r="E39" s="20" t="s">
        <v>3</v>
      </c>
      <c r="F39" s="20" t="s">
        <v>174</v>
      </c>
      <c r="G39" s="19" t="s">
        <v>71</v>
      </c>
      <c r="H39" s="19" t="n">
        <v>3</v>
      </c>
      <c r="I39" s="21" t="n">
        <v>46300</v>
      </c>
      <c r="J39" s="21" t="n">
        <v>46300</v>
      </c>
    </row>
    <row r="40" customFormat="false" ht="15" hidden="false" customHeight="false" outlineLevel="0" collapsed="false">
      <c r="A40" s="19" t="n">
        <v>2</v>
      </c>
      <c r="B40" s="19" t="s">
        <v>225</v>
      </c>
      <c r="C40" s="19" t="n">
        <v>21</v>
      </c>
      <c r="D40" s="20" t="s">
        <v>226</v>
      </c>
      <c r="E40" s="20" t="s">
        <v>3</v>
      </c>
      <c r="F40" s="20" t="s">
        <v>174</v>
      </c>
      <c r="G40" s="19" t="s">
        <v>71</v>
      </c>
      <c r="H40" s="19" t="n">
        <v>6</v>
      </c>
      <c r="I40" s="21" t="n">
        <v>46300</v>
      </c>
      <c r="J40" s="21" t="n">
        <v>46300</v>
      </c>
    </row>
    <row r="41" customFormat="false" ht="15" hidden="false" customHeight="false" outlineLevel="0" collapsed="false">
      <c r="A41" s="19" t="n">
        <v>2</v>
      </c>
      <c r="B41" s="19" t="s">
        <v>227</v>
      </c>
      <c r="C41" s="19" t="n">
        <v>18</v>
      </c>
      <c r="D41" s="20" t="s">
        <v>228</v>
      </c>
      <c r="E41" s="20" t="s">
        <v>3</v>
      </c>
      <c r="F41" s="20" t="s">
        <v>174</v>
      </c>
      <c r="G41" s="19" t="s">
        <v>71</v>
      </c>
      <c r="H41" s="19" t="n">
        <v>3</v>
      </c>
      <c r="I41" s="21" t="n">
        <v>46300</v>
      </c>
      <c r="J41" s="21" t="n">
        <v>46300</v>
      </c>
    </row>
    <row r="42" customFormat="false" ht="15" hidden="false" customHeight="false" outlineLevel="0" collapsed="false">
      <c r="A42" s="19" t="n">
        <v>2</v>
      </c>
      <c r="B42" s="19" t="s">
        <v>229</v>
      </c>
      <c r="C42" s="19" t="n">
        <v>11</v>
      </c>
      <c r="D42" s="20" t="s">
        <v>230</v>
      </c>
      <c r="E42" s="20" t="s">
        <v>3</v>
      </c>
      <c r="F42" s="20" t="s">
        <v>174</v>
      </c>
      <c r="G42" s="19" t="s">
        <v>71</v>
      </c>
      <c r="H42" s="19" t="n">
        <v>2</v>
      </c>
      <c r="I42" s="21" t="n">
        <v>46302</v>
      </c>
      <c r="J42" s="21" t="n">
        <v>46302</v>
      </c>
    </row>
    <row r="43" customFormat="false" ht="15" hidden="false" customHeight="false" outlineLevel="0" collapsed="false">
      <c r="A43" s="19" t="n">
        <v>2</v>
      </c>
      <c r="B43" s="19" t="s">
        <v>231</v>
      </c>
      <c r="C43" s="19" t="n">
        <v>24</v>
      </c>
      <c r="D43" s="20" t="s">
        <v>232</v>
      </c>
      <c r="E43" s="20" t="s">
        <v>3</v>
      </c>
      <c r="F43" s="20" t="s">
        <v>174</v>
      </c>
      <c r="G43" s="19" t="s">
        <v>71</v>
      </c>
      <c r="H43" s="19" t="n">
        <v>3</v>
      </c>
      <c r="I43" s="21" t="n">
        <v>46302</v>
      </c>
      <c r="J43" s="21" t="n">
        <v>46302</v>
      </c>
    </row>
    <row r="44" customFormat="false" ht="15" hidden="false" customHeight="false" outlineLevel="0" collapsed="false">
      <c r="A44" s="19" t="n">
        <v>2</v>
      </c>
      <c r="B44" s="19" t="s">
        <v>233</v>
      </c>
      <c r="C44" s="19" t="n">
        <v>25</v>
      </c>
      <c r="D44" s="20" t="s">
        <v>234</v>
      </c>
      <c r="E44" s="20" t="s">
        <v>3</v>
      </c>
      <c r="F44" s="20" t="s">
        <v>174</v>
      </c>
      <c r="G44" s="19" t="s">
        <v>71</v>
      </c>
      <c r="H44" s="19" t="n">
        <v>3</v>
      </c>
      <c r="I44" s="21" t="n">
        <v>46302</v>
      </c>
      <c r="J44" s="21" t="n">
        <v>46302</v>
      </c>
    </row>
    <row r="45" customFormat="false" ht="28.35" hidden="false" customHeight="false" outlineLevel="0" collapsed="false">
      <c r="A45" s="19" t="n">
        <v>2</v>
      </c>
      <c r="B45" s="19" t="s">
        <v>235</v>
      </c>
      <c r="C45" s="19" t="n">
        <v>14</v>
      </c>
      <c r="D45" s="20" t="s">
        <v>236</v>
      </c>
      <c r="E45" s="20" t="s">
        <v>3</v>
      </c>
      <c r="F45" s="20" t="s">
        <v>174</v>
      </c>
      <c r="G45" s="19" t="s">
        <v>97</v>
      </c>
      <c r="H45" s="19" t="n">
        <v>6</v>
      </c>
      <c r="I45" s="21" t="n">
        <v>46302</v>
      </c>
      <c r="J45" s="19"/>
    </row>
    <row r="46" customFormat="false" ht="15" hidden="false" customHeight="false" outlineLevel="0" collapsed="false">
      <c r="A46" s="19" t="n">
        <v>2</v>
      </c>
      <c r="B46" s="19" t="s">
        <v>237</v>
      </c>
      <c r="C46" s="19" t="n">
        <v>24</v>
      </c>
      <c r="D46" s="20" t="s">
        <v>238</v>
      </c>
      <c r="E46" s="20" t="s">
        <v>3</v>
      </c>
      <c r="F46" s="20" t="s">
        <v>174</v>
      </c>
      <c r="G46" s="19" t="s">
        <v>97</v>
      </c>
      <c r="H46" s="19" t="n">
        <v>2</v>
      </c>
      <c r="I46" s="21" t="n">
        <v>46308</v>
      </c>
      <c r="J46" s="19"/>
    </row>
    <row r="47" customFormat="false" ht="15" hidden="false" customHeight="false" outlineLevel="0" collapsed="false">
      <c r="A47" s="19" t="n">
        <v>2</v>
      </c>
      <c r="B47" s="19" t="s">
        <v>239</v>
      </c>
      <c r="C47" s="19" t="n">
        <v>25</v>
      </c>
      <c r="D47" s="20" t="s">
        <v>240</v>
      </c>
      <c r="E47" s="20" t="s">
        <v>3</v>
      </c>
      <c r="F47" s="20" t="s">
        <v>174</v>
      </c>
      <c r="G47" s="19" t="s">
        <v>71</v>
      </c>
      <c r="H47" s="19" t="n">
        <v>6</v>
      </c>
      <c r="I47" s="21" t="n">
        <v>46302</v>
      </c>
      <c r="J47" s="21" t="n">
        <v>46308</v>
      </c>
    </row>
    <row r="48" customFormat="false" ht="15" hidden="false" customHeight="false" outlineLevel="0" collapsed="false">
      <c r="A48" s="19" t="n">
        <v>2</v>
      </c>
      <c r="B48" s="19" t="s">
        <v>241</v>
      </c>
      <c r="C48" s="19" t="n">
        <v>14</v>
      </c>
      <c r="D48" s="20" t="s">
        <v>242</v>
      </c>
      <c r="E48" s="20" t="s">
        <v>3</v>
      </c>
      <c r="F48" s="20" t="s">
        <v>174</v>
      </c>
      <c r="G48" s="19" t="s">
        <v>139</v>
      </c>
      <c r="H48" s="19" t="n">
        <v>1</v>
      </c>
      <c r="I48" s="19"/>
      <c r="J48" s="19"/>
    </row>
    <row r="49" customFormat="false" ht="15" hidden="false" customHeight="false" outlineLevel="0" collapsed="false">
      <c r="A49" s="19" t="n">
        <v>2</v>
      </c>
      <c r="B49" s="19" t="s">
        <v>243</v>
      </c>
      <c r="C49" s="19" t="n">
        <v>21</v>
      </c>
      <c r="D49" s="20" t="s">
        <v>244</v>
      </c>
      <c r="E49" s="20" t="s">
        <v>3</v>
      </c>
      <c r="F49" s="20" t="s">
        <v>174</v>
      </c>
      <c r="G49" s="19" t="s">
        <v>71</v>
      </c>
      <c r="H49" s="19" t="n">
        <v>1</v>
      </c>
      <c r="I49" s="21" t="n">
        <v>46302</v>
      </c>
      <c r="J49" s="21" t="n">
        <v>46302</v>
      </c>
    </row>
    <row r="50" customFormat="false" ht="15" hidden="false" customHeight="false" outlineLevel="0" collapsed="false">
      <c r="A50" s="19" t="n">
        <v>2</v>
      </c>
      <c r="B50" s="19" t="s">
        <v>245</v>
      </c>
      <c r="C50" s="19" t="n">
        <v>1</v>
      </c>
      <c r="D50" s="20" t="s">
        <v>246</v>
      </c>
      <c r="E50" s="20" t="s">
        <v>3</v>
      </c>
      <c r="F50" s="20" t="s">
        <v>174</v>
      </c>
      <c r="G50" s="19" t="s">
        <v>71</v>
      </c>
      <c r="H50" s="19" t="n">
        <v>2</v>
      </c>
      <c r="I50" s="21" t="n">
        <v>46308</v>
      </c>
      <c r="J50" s="21" t="n">
        <v>46308</v>
      </c>
    </row>
    <row r="51" customFormat="false" ht="15" hidden="false" customHeight="false" outlineLevel="0" collapsed="false">
      <c r="A51" s="19" t="n">
        <v>2</v>
      </c>
      <c r="B51" s="19" t="s">
        <v>247</v>
      </c>
      <c r="C51" s="19" t="n">
        <v>20</v>
      </c>
      <c r="D51" s="20" t="s">
        <v>248</v>
      </c>
      <c r="E51" s="20" t="s">
        <v>3</v>
      </c>
      <c r="F51" s="20" t="s">
        <v>174</v>
      </c>
      <c r="G51" s="19" t="s">
        <v>71</v>
      </c>
      <c r="H51" s="19" t="n">
        <v>2</v>
      </c>
      <c r="I51" s="21" t="n">
        <v>46308</v>
      </c>
      <c r="J51" s="21" t="n">
        <v>46308</v>
      </c>
    </row>
    <row r="52" customFormat="false" ht="15" hidden="false" customHeight="false" outlineLevel="0" collapsed="false">
      <c r="A52" s="19" t="n">
        <v>2</v>
      </c>
      <c r="B52" s="19" t="s">
        <v>249</v>
      </c>
      <c r="C52" s="19" t="n">
        <v>25</v>
      </c>
      <c r="D52" s="20" t="s">
        <v>250</v>
      </c>
      <c r="E52" s="20" t="s">
        <v>3</v>
      </c>
      <c r="F52" s="20" t="s">
        <v>174</v>
      </c>
      <c r="G52" s="19" t="s">
        <v>71</v>
      </c>
      <c r="H52" s="19" t="n">
        <v>3</v>
      </c>
      <c r="I52" s="21" t="n">
        <v>46308</v>
      </c>
      <c r="J52" s="21" t="n">
        <v>46308</v>
      </c>
    </row>
    <row r="53" customFormat="false" ht="28.35" hidden="false" customHeight="false" outlineLevel="0" collapsed="false">
      <c r="A53" s="19" t="n">
        <v>2</v>
      </c>
      <c r="B53" s="19" t="s">
        <v>251</v>
      </c>
      <c r="C53" s="19" t="n">
        <v>27</v>
      </c>
      <c r="D53" s="20" t="s">
        <v>252</v>
      </c>
      <c r="E53" s="20" t="s">
        <v>3</v>
      </c>
      <c r="F53" s="20" t="s">
        <v>174</v>
      </c>
      <c r="G53" s="19" t="s">
        <v>71</v>
      </c>
      <c r="H53" s="19" t="n">
        <v>3</v>
      </c>
      <c r="I53" s="21" t="n">
        <v>46310</v>
      </c>
      <c r="J53" s="21" t="n">
        <v>46310</v>
      </c>
    </row>
    <row r="54" customFormat="false" ht="28.35" hidden="false" customHeight="false" outlineLevel="0" collapsed="false">
      <c r="A54" s="19" t="n">
        <v>2</v>
      </c>
      <c r="B54" s="19" t="s">
        <v>253</v>
      </c>
      <c r="C54" s="19" t="n">
        <v>10</v>
      </c>
      <c r="D54" s="20" t="s">
        <v>254</v>
      </c>
      <c r="E54" s="20" t="s">
        <v>3</v>
      </c>
      <c r="F54" s="20" t="s">
        <v>174</v>
      </c>
      <c r="G54" s="19" t="s">
        <v>71</v>
      </c>
      <c r="H54" s="19" t="n">
        <v>2</v>
      </c>
      <c r="I54" s="21" t="n">
        <v>46310</v>
      </c>
      <c r="J54" s="21" t="n">
        <v>46310</v>
      </c>
    </row>
    <row r="55" customFormat="false" ht="15" hidden="false" customHeight="false" outlineLevel="0" collapsed="false">
      <c r="A55" s="19" t="n">
        <v>2</v>
      </c>
      <c r="B55" s="19" t="s">
        <v>255</v>
      </c>
      <c r="C55" s="19" t="n">
        <v>1</v>
      </c>
      <c r="D55" s="20" t="s">
        <v>256</v>
      </c>
      <c r="E55" s="20" t="s">
        <v>3</v>
      </c>
      <c r="F55" s="20" t="s">
        <v>174</v>
      </c>
      <c r="G55" s="19" t="s">
        <v>71</v>
      </c>
      <c r="H55" s="19" t="n">
        <v>1</v>
      </c>
      <c r="I55" s="21" t="n">
        <v>46310</v>
      </c>
      <c r="J55" s="21" t="n">
        <v>46310</v>
      </c>
    </row>
    <row r="56" customFormat="false" ht="15" hidden="false" customHeight="false" outlineLevel="0" collapsed="false">
      <c r="A56" s="19" t="n">
        <v>2</v>
      </c>
      <c r="B56" s="19" t="s">
        <v>257</v>
      </c>
      <c r="C56" s="19" t="n">
        <v>23</v>
      </c>
      <c r="D56" s="20" t="s">
        <v>258</v>
      </c>
      <c r="E56" s="20" t="s">
        <v>3</v>
      </c>
      <c r="F56" s="20" t="s">
        <v>174</v>
      </c>
      <c r="G56" s="19" t="s">
        <v>71</v>
      </c>
      <c r="H56" s="19" t="n">
        <v>3</v>
      </c>
      <c r="I56" s="21" t="n">
        <v>46310</v>
      </c>
      <c r="J56" s="21" t="n">
        <v>46310</v>
      </c>
    </row>
    <row r="57" customFormat="false" ht="28.35" hidden="false" customHeight="false" outlineLevel="0" collapsed="false">
      <c r="A57" s="19" t="n">
        <v>2</v>
      </c>
      <c r="B57" s="19" t="s">
        <v>259</v>
      </c>
      <c r="C57" s="19" t="n">
        <v>19</v>
      </c>
      <c r="D57" s="20" t="s">
        <v>260</v>
      </c>
      <c r="E57" s="20" t="s">
        <v>3</v>
      </c>
      <c r="F57" s="20" t="s">
        <v>174</v>
      </c>
      <c r="G57" s="19" t="s">
        <v>71</v>
      </c>
      <c r="H57" s="19" t="n">
        <v>2</v>
      </c>
      <c r="I57" s="21" t="n">
        <v>46310</v>
      </c>
      <c r="J57" s="21" t="n">
        <v>46310</v>
      </c>
    </row>
    <row r="58" customFormat="false" ht="15" hidden="false" customHeight="false" outlineLevel="0" collapsed="false">
      <c r="A58" s="19" t="n">
        <v>2</v>
      </c>
      <c r="B58" s="19" t="s">
        <v>261</v>
      </c>
      <c r="C58" s="19" t="n">
        <v>27</v>
      </c>
      <c r="D58" s="20" t="s">
        <v>262</v>
      </c>
      <c r="E58" s="20" t="s">
        <v>3</v>
      </c>
      <c r="F58" s="20" t="s">
        <v>174</v>
      </c>
      <c r="G58" s="19" t="s">
        <v>71</v>
      </c>
      <c r="H58" s="19" t="n">
        <v>2</v>
      </c>
      <c r="I58" s="21" t="n">
        <v>46315</v>
      </c>
      <c r="J58" s="21" t="n">
        <v>46315</v>
      </c>
    </row>
    <row r="59" customFormat="false" ht="15" hidden="false" customHeight="false" outlineLevel="0" collapsed="false">
      <c r="A59" s="19" t="n">
        <v>2</v>
      </c>
      <c r="B59" s="19" t="s">
        <v>263</v>
      </c>
      <c r="C59" s="19" t="n">
        <v>24</v>
      </c>
      <c r="D59" s="20" t="s">
        <v>264</v>
      </c>
      <c r="E59" s="20" t="s">
        <v>3</v>
      </c>
      <c r="F59" s="20" t="s">
        <v>174</v>
      </c>
      <c r="G59" s="19" t="s">
        <v>71</v>
      </c>
      <c r="H59" s="19" t="n">
        <v>2</v>
      </c>
      <c r="I59" s="21" t="n">
        <v>46315</v>
      </c>
      <c r="J59" s="21" t="n">
        <v>46315</v>
      </c>
    </row>
    <row r="60" customFormat="false" ht="28.35" hidden="false" customHeight="false" outlineLevel="0" collapsed="false">
      <c r="A60" s="19" t="n">
        <v>2</v>
      </c>
      <c r="B60" s="19" t="s">
        <v>265</v>
      </c>
      <c r="C60" s="19" t="n">
        <v>14</v>
      </c>
      <c r="D60" s="20" t="s">
        <v>266</v>
      </c>
      <c r="E60" s="20" t="s">
        <v>3</v>
      </c>
      <c r="F60" s="20" t="s">
        <v>174</v>
      </c>
      <c r="G60" s="19" t="s">
        <v>71</v>
      </c>
      <c r="H60" s="19" t="n">
        <v>3</v>
      </c>
      <c r="I60" s="21" t="n">
        <v>46316</v>
      </c>
      <c r="J60" s="21" t="n">
        <v>46316</v>
      </c>
    </row>
    <row r="61" customFormat="false" ht="15" hidden="false" customHeight="false" outlineLevel="0" collapsed="false">
      <c r="A61" s="19" t="n">
        <v>2</v>
      </c>
      <c r="B61" s="19" t="s">
        <v>267</v>
      </c>
      <c r="C61" s="19" t="n">
        <v>25</v>
      </c>
      <c r="D61" s="20" t="s">
        <v>268</v>
      </c>
      <c r="E61" s="20" t="s">
        <v>3</v>
      </c>
      <c r="F61" s="20" t="s">
        <v>174</v>
      </c>
      <c r="G61" s="19" t="s">
        <v>71</v>
      </c>
      <c r="H61" s="19" t="n">
        <v>2</v>
      </c>
      <c r="I61" s="21" t="n">
        <v>46316</v>
      </c>
      <c r="J61" s="21" t="n">
        <v>46316</v>
      </c>
    </row>
    <row r="62" customFormat="false" ht="28.35" hidden="false" customHeight="false" outlineLevel="0" collapsed="false">
      <c r="A62" s="19" t="n">
        <v>2</v>
      </c>
      <c r="B62" s="19" t="s">
        <v>269</v>
      </c>
      <c r="C62" s="19" t="n">
        <v>28</v>
      </c>
      <c r="D62" s="20" t="s">
        <v>270</v>
      </c>
      <c r="E62" s="20" t="s">
        <v>3</v>
      </c>
      <c r="F62" s="20" t="s">
        <v>174</v>
      </c>
      <c r="G62" s="19" t="s">
        <v>71</v>
      </c>
      <c r="H62" s="19" t="n">
        <v>6</v>
      </c>
      <c r="I62" s="21" t="n">
        <v>46317</v>
      </c>
      <c r="J62" s="21" t="n">
        <v>46317</v>
      </c>
    </row>
    <row r="63" customFormat="false" ht="28.35" hidden="false" customHeight="false" outlineLevel="0" collapsed="false">
      <c r="A63" s="19" t="n">
        <v>2</v>
      </c>
      <c r="B63" s="19" t="s">
        <v>271</v>
      </c>
      <c r="C63" s="19" t="n">
        <v>28</v>
      </c>
      <c r="D63" s="20" t="s">
        <v>272</v>
      </c>
      <c r="E63" s="20" t="s">
        <v>3</v>
      </c>
      <c r="F63" s="20" t="s">
        <v>174</v>
      </c>
      <c r="G63" s="19" t="s">
        <v>71</v>
      </c>
      <c r="H63" s="19" t="n">
        <v>4</v>
      </c>
      <c r="I63" s="21" t="n">
        <v>46317</v>
      </c>
      <c r="J63" s="21" t="n">
        <v>46318</v>
      </c>
    </row>
    <row r="64" customFormat="false" ht="15" hidden="false" customHeight="false" outlineLevel="0" collapsed="false">
      <c r="A64" s="19" t="n">
        <v>2</v>
      </c>
      <c r="B64" s="19" t="s">
        <v>273</v>
      </c>
      <c r="C64" s="19" t="n">
        <v>25</v>
      </c>
      <c r="D64" s="20" t="s">
        <v>274</v>
      </c>
      <c r="E64" s="20" t="s">
        <v>3</v>
      </c>
      <c r="F64" s="20" t="s">
        <v>174</v>
      </c>
      <c r="G64" s="19" t="s">
        <v>71</v>
      </c>
      <c r="H64" s="19" t="n">
        <v>2</v>
      </c>
      <c r="I64" s="21" t="n">
        <v>46317</v>
      </c>
      <c r="J64" s="21" t="n">
        <v>46317</v>
      </c>
    </row>
    <row r="65" customFormat="false" ht="28.35" hidden="false" customHeight="false" outlineLevel="0" collapsed="false">
      <c r="A65" s="19" t="n">
        <v>2</v>
      </c>
      <c r="B65" s="19" t="s">
        <v>275</v>
      </c>
      <c r="C65" s="19" t="n">
        <v>14</v>
      </c>
      <c r="D65" s="20" t="s">
        <v>276</v>
      </c>
      <c r="E65" s="20" t="s">
        <v>3</v>
      </c>
      <c r="F65" s="20" t="s">
        <v>174</v>
      </c>
      <c r="G65" s="19" t="s">
        <v>139</v>
      </c>
      <c r="H65" s="19" t="n">
        <v>2</v>
      </c>
      <c r="I65" s="21" t="n">
        <v>46321</v>
      </c>
      <c r="J65" s="19"/>
    </row>
    <row r="66" customFormat="false" ht="28.35" hidden="false" customHeight="false" outlineLevel="0" collapsed="false">
      <c r="A66" s="19" t="n">
        <v>2</v>
      </c>
      <c r="B66" s="19" t="s">
        <v>277</v>
      </c>
      <c r="C66" s="19" t="n">
        <v>14</v>
      </c>
      <c r="D66" s="20" t="s">
        <v>278</v>
      </c>
      <c r="E66" s="20" t="s">
        <v>3</v>
      </c>
      <c r="F66" s="20" t="s">
        <v>174</v>
      </c>
      <c r="G66" s="19" t="s">
        <v>139</v>
      </c>
      <c r="H66" s="19" t="n">
        <v>1</v>
      </c>
      <c r="I66" s="21" t="n">
        <v>46323</v>
      </c>
      <c r="J66" s="19"/>
    </row>
    <row r="67" customFormat="false" ht="28.35" hidden="false" customHeight="false" outlineLevel="0" collapsed="false">
      <c r="A67" s="19" t="n">
        <v>3</v>
      </c>
      <c r="B67" s="19" t="s">
        <v>279</v>
      </c>
      <c r="C67" s="19" t="n">
        <v>26</v>
      </c>
      <c r="D67" s="20" t="s">
        <v>280</v>
      </c>
      <c r="E67" s="20" t="s">
        <v>3</v>
      </c>
      <c r="F67" s="20" t="s">
        <v>174</v>
      </c>
      <c r="G67" s="19" t="s">
        <v>71</v>
      </c>
      <c r="H67" s="19" t="n">
        <v>2</v>
      </c>
      <c r="I67" s="21" t="n">
        <v>46315</v>
      </c>
      <c r="J67" s="21" t="n">
        <v>46315</v>
      </c>
    </row>
    <row r="68" customFormat="false" ht="15" hidden="false" customHeight="false" outlineLevel="0" collapsed="false">
      <c r="A68" s="19" t="n">
        <v>3</v>
      </c>
      <c r="B68" s="19" t="s">
        <v>281</v>
      </c>
      <c r="C68" s="19" t="n">
        <v>26</v>
      </c>
      <c r="D68" s="20" t="s">
        <v>282</v>
      </c>
      <c r="E68" s="20" t="s">
        <v>3</v>
      </c>
      <c r="F68" s="20" t="s">
        <v>174</v>
      </c>
      <c r="G68" s="19" t="s">
        <v>71</v>
      </c>
      <c r="H68" s="19" t="n">
        <v>1</v>
      </c>
      <c r="I68" s="21" t="n">
        <v>46315</v>
      </c>
      <c r="J68" s="21" t="n">
        <v>46315</v>
      </c>
    </row>
    <row r="69" customFormat="false" ht="15" hidden="false" customHeight="false" outlineLevel="0" collapsed="false">
      <c r="A69" s="19" t="n">
        <v>3</v>
      </c>
      <c r="B69" s="19" t="s">
        <v>283</v>
      </c>
      <c r="C69" s="19" t="n">
        <v>26</v>
      </c>
      <c r="D69" s="20" t="s">
        <v>284</v>
      </c>
      <c r="E69" s="20" t="s">
        <v>3</v>
      </c>
      <c r="F69" s="20" t="s">
        <v>174</v>
      </c>
      <c r="G69" s="19" t="s">
        <v>97</v>
      </c>
      <c r="H69" s="19" t="n">
        <v>3</v>
      </c>
      <c r="I69" s="21" t="n">
        <v>46315</v>
      </c>
      <c r="J69" s="19"/>
    </row>
    <row r="70" customFormat="false" ht="15" hidden="false" customHeight="false" outlineLevel="0" collapsed="false">
      <c r="A70" s="19" t="n">
        <v>3</v>
      </c>
      <c r="B70" s="19" t="s">
        <v>285</v>
      </c>
      <c r="C70" s="19" t="n">
        <v>26</v>
      </c>
      <c r="D70" s="20" t="s">
        <v>286</v>
      </c>
      <c r="E70" s="20" t="s">
        <v>3</v>
      </c>
      <c r="F70" s="20" t="s">
        <v>174</v>
      </c>
      <c r="G70" s="19" t="s">
        <v>139</v>
      </c>
      <c r="H70" s="19" t="n">
        <v>1</v>
      </c>
      <c r="I70" s="19"/>
      <c r="J70" s="19"/>
    </row>
    <row r="71" customFormat="false" ht="15" hidden="false" customHeight="false" outlineLevel="0" collapsed="false">
      <c r="A71" s="19" t="n">
        <v>3</v>
      </c>
      <c r="B71" s="19" t="s">
        <v>287</v>
      </c>
      <c r="C71" s="19" t="n">
        <v>14</v>
      </c>
      <c r="D71" s="20" t="s">
        <v>288</v>
      </c>
      <c r="E71" s="20" t="s">
        <v>3</v>
      </c>
      <c r="F71" s="20" t="s">
        <v>174</v>
      </c>
      <c r="G71" s="19" t="s">
        <v>139</v>
      </c>
      <c r="H71" s="19" t="n">
        <v>1</v>
      </c>
      <c r="I71" s="19"/>
      <c r="J71" s="19"/>
    </row>
    <row r="72" customFormat="false" ht="15" hidden="false" customHeight="false" outlineLevel="0" collapsed="false">
      <c r="A72" s="19" t="n">
        <v>3</v>
      </c>
      <c r="B72" s="19" t="s">
        <v>289</v>
      </c>
      <c r="C72" s="19" t="n">
        <v>14</v>
      </c>
      <c r="D72" s="20" t="s">
        <v>290</v>
      </c>
      <c r="E72" s="20" t="s">
        <v>3</v>
      </c>
      <c r="F72" s="20" t="s">
        <v>174</v>
      </c>
      <c r="G72" s="19" t="s">
        <v>139</v>
      </c>
      <c r="H72" s="19" t="n">
        <v>6</v>
      </c>
      <c r="I72" s="19"/>
      <c r="J72" s="19"/>
    </row>
    <row r="73" customFormat="false" ht="28.35" hidden="false" customHeight="false" outlineLevel="0" collapsed="false">
      <c r="A73" s="19" t="n">
        <v>3</v>
      </c>
      <c r="B73" s="19" t="s">
        <v>291</v>
      </c>
      <c r="C73" s="19" t="n">
        <v>14</v>
      </c>
      <c r="D73" s="20" t="s">
        <v>292</v>
      </c>
      <c r="E73" s="20" t="s">
        <v>3</v>
      </c>
      <c r="F73" s="20" t="s">
        <v>174</v>
      </c>
      <c r="G73" s="19" t="s">
        <v>139</v>
      </c>
      <c r="H73" s="19" t="n">
        <v>3</v>
      </c>
      <c r="I73" s="19"/>
      <c r="J73" s="19"/>
    </row>
    <row r="74" customFormat="false" ht="15" hidden="false" customHeight="false" outlineLevel="0" collapsed="false">
      <c r="A74" s="19" t="n">
        <v>3</v>
      </c>
      <c r="B74" s="19" t="s">
        <v>293</v>
      </c>
      <c r="C74" s="19" t="n">
        <v>14</v>
      </c>
      <c r="D74" s="20" t="s">
        <v>294</v>
      </c>
      <c r="E74" s="20" t="s">
        <v>3</v>
      </c>
      <c r="F74" s="20" t="s">
        <v>174</v>
      </c>
      <c r="G74" s="19" t="s">
        <v>139</v>
      </c>
      <c r="H74" s="19" t="n">
        <v>2</v>
      </c>
      <c r="I74" s="19"/>
      <c r="J74" s="19"/>
    </row>
    <row r="75" customFormat="false" ht="15" hidden="false" customHeight="false" outlineLevel="0" collapsed="false">
      <c r="A75" s="19" t="n">
        <v>3</v>
      </c>
      <c r="B75" s="19" t="s">
        <v>295</v>
      </c>
      <c r="C75" s="19" t="n">
        <v>24</v>
      </c>
      <c r="D75" s="20" t="s">
        <v>296</v>
      </c>
      <c r="E75" s="20" t="s">
        <v>3</v>
      </c>
      <c r="F75" s="20" t="s">
        <v>174</v>
      </c>
      <c r="G75" s="19" t="s">
        <v>139</v>
      </c>
      <c r="H75" s="19" t="n">
        <v>1</v>
      </c>
      <c r="I75" s="19"/>
      <c r="J75" s="19"/>
    </row>
    <row r="76" customFormat="false" ht="15" hidden="false" customHeight="false" outlineLevel="0" collapsed="false">
      <c r="A76" s="19" t="n">
        <v>3</v>
      </c>
      <c r="B76" s="19" t="s">
        <v>297</v>
      </c>
      <c r="C76" s="19" t="n">
        <v>25</v>
      </c>
      <c r="D76" s="20" t="s">
        <v>298</v>
      </c>
      <c r="E76" s="20" t="s">
        <v>3</v>
      </c>
      <c r="F76" s="20" t="s">
        <v>174</v>
      </c>
      <c r="G76" s="19" t="s">
        <v>139</v>
      </c>
      <c r="H76" s="19" t="n">
        <v>3</v>
      </c>
      <c r="I76" s="19"/>
      <c r="J76" s="19"/>
    </row>
    <row r="77" customFormat="false" ht="15" hidden="false" customHeight="false" outlineLevel="0" collapsed="false">
      <c r="A77" s="19" t="n">
        <v>3</v>
      </c>
      <c r="B77" s="19" t="s">
        <v>299</v>
      </c>
      <c r="C77" s="19" t="n">
        <v>26</v>
      </c>
      <c r="D77" s="20" t="s">
        <v>300</v>
      </c>
      <c r="E77" s="20" t="s">
        <v>3</v>
      </c>
      <c r="F77" s="20" t="s">
        <v>174</v>
      </c>
      <c r="G77" s="19" t="s">
        <v>139</v>
      </c>
      <c r="H77" s="19" t="n">
        <v>3</v>
      </c>
      <c r="I77" s="19"/>
      <c r="J77" s="19"/>
    </row>
    <row r="78" customFormat="false" ht="15" hidden="false" customHeight="false" outlineLevel="0" collapsed="false">
      <c r="A78" s="19" t="n">
        <v>3</v>
      </c>
      <c r="B78" s="19" t="s">
        <v>301</v>
      </c>
      <c r="C78" s="19" t="n">
        <v>14</v>
      </c>
      <c r="D78" s="20" t="s">
        <v>302</v>
      </c>
      <c r="E78" s="20" t="s">
        <v>3</v>
      </c>
      <c r="F78" s="20" t="s">
        <v>174</v>
      </c>
      <c r="G78" s="19" t="s">
        <v>139</v>
      </c>
      <c r="H78" s="19" t="n">
        <v>1</v>
      </c>
      <c r="I78" s="19"/>
      <c r="J78" s="19"/>
    </row>
    <row r="79" customFormat="false" ht="15" hidden="false" customHeight="false" outlineLevel="0" collapsed="false">
      <c r="A79" s="19" t="n">
        <v>4</v>
      </c>
      <c r="B79" s="19" t="s">
        <v>303</v>
      </c>
      <c r="C79" s="19" t="n">
        <v>14</v>
      </c>
      <c r="D79" s="20" t="s">
        <v>304</v>
      </c>
      <c r="E79" s="20" t="s">
        <v>3</v>
      </c>
      <c r="F79" s="20" t="s">
        <v>174</v>
      </c>
      <c r="G79" s="19" t="s">
        <v>139</v>
      </c>
      <c r="H79" s="19" t="n">
        <v>2</v>
      </c>
      <c r="I79" s="19"/>
      <c r="J79" s="19"/>
    </row>
    <row r="80" customFormat="false" ht="15" hidden="false" customHeight="false" outlineLevel="0" collapsed="false">
      <c r="A80" s="19" t="n">
        <v>4</v>
      </c>
      <c r="B80" s="19" t="s">
        <v>305</v>
      </c>
      <c r="C80" s="19" t="n">
        <v>24</v>
      </c>
      <c r="D80" s="20" t="s">
        <v>306</v>
      </c>
      <c r="E80" s="20" t="s">
        <v>3</v>
      </c>
      <c r="F80" s="20" t="s">
        <v>174</v>
      </c>
      <c r="G80" s="19" t="s">
        <v>139</v>
      </c>
      <c r="H80" s="19" t="n">
        <v>2</v>
      </c>
      <c r="I80" s="19"/>
      <c r="J80" s="19"/>
    </row>
    <row r="81" customFormat="false" ht="15" hidden="false" customHeight="false" outlineLevel="0" collapsed="false">
      <c r="A81" s="19" t="n">
        <v>4</v>
      </c>
      <c r="B81" s="19" t="s">
        <v>307</v>
      </c>
      <c r="C81" s="19" t="n">
        <v>14</v>
      </c>
      <c r="D81" s="20" t="s">
        <v>308</v>
      </c>
      <c r="E81" s="20" t="s">
        <v>3</v>
      </c>
      <c r="F81" s="20" t="s">
        <v>174</v>
      </c>
      <c r="G81" s="19" t="s">
        <v>139</v>
      </c>
      <c r="H81" s="19" t="n">
        <v>3</v>
      </c>
      <c r="I81" s="19"/>
      <c r="J81" s="19"/>
    </row>
    <row r="82" customFormat="false" ht="15" hidden="false" customHeight="false" outlineLevel="0" collapsed="false">
      <c r="A82" s="19" t="n">
        <v>4</v>
      </c>
      <c r="B82" s="19" t="s">
        <v>309</v>
      </c>
      <c r="C82" s="19" t="n">
        <v>25</v>
      </c>
      <c r="D82" s="20" t="s">
        <v>310</v>
      </c>
      <c r="E82" s="20" t="s">
        <v>3</v>
      </c>
      <c r="F82" s="20" t="s">
        <v>174</v>
      </c>
      <c r="G82" s="19" t="s">
        <v>139</v>
      </c>
      <c r="H82" s="19" t="n">
        <v>2</v>
      </c>
      <c r="I82" s="19"/>
      <c r="J82" s="19"/>
    </row>
    <row r="83" customFormat="false" ht="15" hidden="false" customHeight="false" outlineLevel="0" collapsed="false">
      <c r="A83" s="19" t="n">
        <v>4</v>
      </c>
      <c r="B83" s="19" t="s">
        <v>311</v>
      </c>
      <c r="C83" s="19" t="n">
        <v>26</v>
      </c>
      <c r="D83" s="20" t="s">
        <v>312</v>
      </c>
      <c r="E83" s="20" t="s">
        <v>3</v>
      </c>
      <c r="F83" s="20" t="s">
        <v>174</v>
      </c>
      <c r="G83" s="19" t="s">
        <v>139</v>
      </c>
      <c r="H83" s="19" t="n">
        <v>3</v>
      </c>
      <c r="I83" s="19"/>
      <c r="J83" s="19"/>
    </row>
    <row r="84" customFormat="false" ht="28.35" hidden="false" customHeight="false" outlineLevel="0" collapsed="false">
      <c r="A84" s="19" t="n">
        <v>4</v>
      </c>
      <c r="B84" s="19" t="s">
        <v>313</v>
      </c>
      <c r="C84" s="19" t="n">
        <v>25</v>
      </c>
      <c r="D84" s="20" t="s">
        <v>314</v>
      </c>
      <c r="E84" s="20" t="s">
        <v>3</v>
      </c>
      <c r="F84" s="20" t="s">
        <v>174</v>
      </c>
      <c r="G84" s="19" t="s">
        <v>139</v>
      </c>
      <c r="H84" s="19" t="n">
        <v>1</v>
      </c>
      <c r="I84" s="19"/>
      <c r="J84" s="19"/>
    </row>
    <row r="85" customFormat="false" ht="15" hidden="false" customHeight="false" outlineLevel="0" collapsed="false">
      <c r="A85" s="19" t="n">
        <v>4</v>
      </c>
      <c r="B85" s="19" t="s">
        <v>315</v>
      </c>
      <c r="C85" s="19" t="n">
        <v>14</v>
      </c>
      <c r="D85" s="20" t="s">
        <v>316</v>
      </c>
      <c r="E85" s="20" t="s">
        <v>3</v>
      </c>
      <c r="F85" s="20" t="s">
        <v>174</v>
      </c>
      <c r="G85" s="19" t="s">
        <v>139</v>
      </c>
      <c r="H85" s="19" t="n">
        <v>1</v>
      </c>
      <c r="I85" s="19"/>
      <c r="J85" s="19"/>
    </row>
    <row r="87" customFormat="false" ht="15" hidden="false" customHeight="false" outlineLevel="0" collapsed="false">
      <c r="D87" s="8" t="s">
        <v>22</v>
      </c>
      <c r="E87" s="8" t="s">
        <v>26</v>
      </c>
      <c r="F87" s="8" t="s">
        <v>27</v>
      </c>
      <c r="G87" s="8" t="s">
        <v>317</v>
      </c>
      <c r="H87" s="8" t="s">
        <v>318</v>
      </c>
      <c r="I87" s="8" t="s">
        <v>319</v>
      </c>
    </row>
    <row r="88" customFormat="false" ht="15" hidden="false" customHeight="false" outlineLevel="0" collapsed="false">
      <c r="D88" s="9" t="n">
        <v>1</v>
      </c>
      <c r="E88" s="9" t="n">
        <f aca="false">COUNTIF($A$4:$A$85,1)</f>
        <v>10</v>
      </c>
      <c r="F88" s="9" t="n">
        <f aca="false">COUNTIFS($A$4:$A$85,1,$G$4:$G$85,"Terminado")</f>
        <v>10</v>
      </c>
      <c r="G88" s="9" t="n">
        <f aca="false">SUMIF($A$4:$A$85,1,$H$4:$H$85)</f>
        <v>40</v>
      </c>
      <c r="H88" s="9" t="n">
        <f aca="false">SUMIFS($H$4:$H$85,$A$4:$A$85,1,$G$4:$G$85,"Terminado")</f>
        <v>40</v>
      </c>
      <c r="I88" s="11" t="n">
        <f aca="false">H88/G88</f>
        <v>1</v>
      </c>
    </row>
    <row r="89" customFormat="false" ht="15" hidden="false" customHeight="false" outlineLevel="0" collapsed="false">
      <c r="D89" s="9" t="n">
        <v>2</v>
      </c>
      <c r="E89" s="9" t="n">
        <f aca="false">COUNTIF($A$4:$A$85,2)</f>
        <v>53</v>
      </c>
      <c r="F89" s="9" t="n">
        <f aca="false">COUNTIFS($A$4:$A$85,2,$G$4:$G$85,"Terminado")</f>
        <v>48</v>
      </c>
      <c r="G89" s="9" t="n">
        <f aca="false">SUMIF($A$4:$A$85,2,$H$4:$H$85)</f>
        <v>207</v>
      </c>
      <c r="H89" s="9" t="n">
        <f aca="false">SUMIFS($H$4:$H$85,$A$4:$A$85,2,$G$4:$G$85,"Terminado")</f>
        <v>195</v>
      </c>
      <c r="I89" s="11" t="n">
        <f aca="false">H89/G89</f>
        <v>0.942028985507246</v>
      </c>
    </row>
    <row r="90" customFormat="false" ht="15" hidden="false" customHeight="false" outlineLevel="0" collapsed="false">
      <c r="D90" s="9" t="n">
        <v>3</v>
      </c>
      <c r="E90" s="9" t="n">
        <f aca="false">COUNTIF($A$4:$A$85,3)</f>
        <v>12</v>
      </c>
      <c r="F90" s="9" t="n">
        <f aca="false">COUNTIFS($A$4:$A$85,3,$G$4:$G$85,"Terminado")</f>
        <v>2</v>
      </c>
      <c r="G90" s="9" t="n">
        <f aca="false">SUMIF($A$4:$A$85,3,$H$4:$H$85)</f>
        <v>27</v>
      </c>
      <c r="H90" s="9" t="n">
        <f aca="false">SUMIFS($H$4:$H$85,$A$4:$A$85,3,$G$4:$G$85,"Terminado")</f>
        <v>3</v>
      </c>
      <c r="I90" s="11" t="n">
        <f aca="false">H90/G90</f>
        <v>0.111111111111111</v>
      </c>
    </row>
    <row r="91" customFormat="false" ht="15" hidden="false" customHeight="false" outlineLevel="0" collapsed="false">
      <c r="D91" s="9" t="n">
        <v>4</v>
      </c>
      <c r="E91" s="9" t="n">
        <f aca="false">COUNTIF($A$4:$A$85,4)</f>
        <v>7</v>
      </c>
      <c r="F91" s="9" t="n">
        <f aca="false">COUNTIFS($A$4:$A$85,4,$G$4:$G$85,"Terminado")</f>
        <v>0</v>
      </c>
      <c r="G91" s="9" t="n">
        <f aca="false">SUMIF($A$4:$A$85,4,$H$4:$H$85)</f>
        <v>14</v>
      </c>
      <c r="H91" s="9" t="n">
        <f aca="false">SUMIFS($H$4:$H$85,$A$4:$A$85,4,$G$4:$G$85,"Terminado")</f>
        <v>0</v>
      </c>
      <c r="I91" s="11" t="n">
        <f aca="false">H91/G91</f>
        <v>0</v>
      </c>
    </row>
    <row r="92" customFormat="false" ht="15" hidden="false" customHeight="false" outlineLevel="0" collapsed="false">
      <c r="D92" s="12" t="s">
        <v>33</v>
      </c>
      <c r="E92" s="12" t="n">
        <f aca="false">SUM(E88:E91)</f>
        <v>82</v>
      </c>
      <c r="F92" s="12" t="n">
        <f aca="false">SUM(F88:F91)</f>
        <v>60</v>
      </c>
      <c r="G92" s="12" t="n">
        <f aca="false">SUM(G88:G91)</f>
        <v>288</v>
      </c>
      <c r="H92" s="12" t="n">
        <f aca="false">SUM(H88:H91)</f>
        <v>238</v>
      </c>
      <c r="I92" s="13" t="n">
        <f aca="false">H92/G92</f>
        <v>0.826388888888889</v>
      </c>
    </row>
  </sheetData>
  <autoFilter ref="A3:J85"/>
  <mergeCells count="2">
    <mergeCell ref="A1:J1"/>
    <mergeCell ref="A2:J2"/>
  </mergeCells>
  <conditionalFormatting sqref="G4:G85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G4:G85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5" min="3" style="0" width="48"/>
  </cols>
  <sheetData>
    <row r="1" customFormat="false" ht="17.35" hidden="false" customHeight="false" outlineLevel="0" collapsed="false">
      <c r="A1" s="16" t="s">
        <v>320</v>
      </c>
      <c r="B1" s="16"/>
      <c r="C1" s="16"/>
      <c r="D1" s="16"/>
      <c r="E1" s="16"/>
    </row>
    <row r="2" customFormat="false" ht="15" hidden="false" customHeight="false" outlineLevel="0" collapsed="false">
      <c r="A2" s="17" t="s">
        <v>321</v>
      </c>
      <c r="B2" s="17"/>
      <c r="C2" s="17"/>
      <c r="D2" s="17"/>
      <c r="E2" s="17"/>
    </row>
    <row r="3" customFormat="false" ht="30" hidden="false" customHeight="true" outlineLevel="0" collapsed="false">
      <c r="A3" s="18" t="s">
        <v>22</v>
      </c>
      <c r="B3" s="18" t="s">
        <v>322</v>
      </c>
      <c r="C3" s="18" t="s">
        <v>323</v>
      </c>
      <c r="D3" s="18" t="s">
        <v>324</v>
      </c>
      <c r="E3" s="18" t="s">
        <v>325</v>
      </c>
    </row>
    <row r="4" customFormat="false" ht="42" hidden="false" customHeight="true" outlineLevel="0" collapsed="false">
      <c r="A4" s="19" t="n">
        <v>2</v>
      </c>
      <c r="B4" s="21" t="n">
        <v>46284</v>
      </c>
      <c r="C4" s="20" t="s">
        <v>326</v>
      </c>
      <c r="D4" s="20" t="s">
        <v>327</v>
      </c>
      <c r="E4" s="20" t="s">
        <v>328</v>
      </c>
    </row>
    <row r="5" customFormat="false" ht="42" hidden="false" customHeight="true" outlineLevel="0" collapsed="false">
      <c r="A5" s="19" t="n">
        <v>2</v>
      </c>
      <c r="B5" s="21" t="n">
        <v>46295</v>
      </c>
      <c r="C5" s="20" t="s">
        <v>329</v>
      </c>
      <c r="D5" s="20" t="s">
        <v>330</v>
      </c>
      <c r="E5" s="20" t="s">
        <v>331</v>
      </c>
    </row>
    <row r="6" customFormat="false" ht="42" hidden="false" customHeight="true" outlineLevel="0" collapsed="false">
      <c r="A6" s="19" t="n">
        <v>2</v>
      </c>
      <c r="B6" s="21" t="n">
        <v>46299</v>
      </c>
      <c r="C6" s="20" t="s">
        <v>332</v>
      </c>
      <c r="D6" s="20" t="s">
        <v>333</v>
      </c>
      <c r="E6" s="20" t="s">
        <v>334</v>
      </c>
    </row>
    <row r="7" customFormat="false" ht="42" hidden="false" customHeight="true" outlineLevel="0" collapsed="false">
      <c r="A7" s="19" t="n">
        <v>2</v>
      </c>
      <c r="B7" s="21" t="n">
        <v>46300</v>
      </c>
      <c r="C7" s="20" t="s">
        <v>335</v>
      </c>
      <c r="D7" s="20" t="s">
        <v>336</v>
      </c>
      <c r="E7" s="20" t="s">
        <v>337</v>
      </c>
    </row>
    <row r="8" customFormat="false" ht="42" hidden="false" customHeight="true" outlineLevel="0" collapsed="false">
      <c r="A8" s="19" t="n">
        <v>2</v>
      </c>
      <c r="B8" s="21" t="n">
        <v>46302</v>
      </c>
      <c r="C8" s="20" t="s">
        <v>338</v>
      </c>
      <c r="D8" s="20" t="s">
        <v>339</v>
      </c>
      <c r="E8" s="20" t="s">
        <v>340</v>
      </c>
    </row>
    <row r="9" customFormat="false" ht="42" hidden="false" customHeight="true" outlineLevel="0" collapsed="false">
      <c r="A9" s="19" t="n">
        <v>2</v>
      </c>
      <c r="B9" s="21" t="n">
        <v>46308</v>
      </c>
      <c r="C9" s="20" t="s">
        <v>341</v>
      </c>
      <c r="D9" s="20" t="s">
        <v>342</v>
      </c>
      <c r="E9" s="20" t="s">
        <v>343</v>
      </c>
    </row>
    <row r="10" customFormat="false" ht="42" hidden="false" customHeight="true" outlineLevel="0" collapsed="false">
      <c r="A10" s="19" t="n">
        <v>2</v>
      </c>
      <c r="B10" s="21" t="n">
        <v>46310</v>
      </c>
      <c r="C10" s="20" t="s">
        <v>344</v>
      </c>
      <c r="D10" s="20" t="s">
        <v>345</v>
      </c>
      <c r="E10" s="20" t="s">
        <v>346</v>
      </c>
    </row>
    <row r="11" customFormat="false" ht="42" hidden="false" customHeight="true" outlineLevel="0" collapsed="false">
      <c r="A11" s="19" t="n">
        <v>2</v>
      </c>
      <c r="B11" s="21" t="n">
        <v>46315</v>
      </c>
      <c r="C11" s="20" t="s">
        <v>347</v>
      </c>
      <c r="D11" s="20" t="s">
        <v>348</v>
      </c>
      <c r="E11" s="20" t="s">
        <v>349</v>
      </c>
    </row>
    <row r="12" customFormat="false" ht="42" hidden="false" customHeight="true" outlineLevel="0" collapsed="false">
      <c r="A12" s="19" t="n">
        <v>2</v>
      </c>
      <c r="B12" s="21" t="n">
        <v>46316</v>
      </c>
      <c r="C12" s="20" t="s">
        <v>350</v>
      </c>
      <c r="D12" s="20" t="s">
        <v>351</v>
      </c>
      <c r="E12" s="20" t="s">
        <v>352</v>
      </c>
    </row>
    <row r="13" customFormat="false" ht="42" hidden="false" customHeight="true" outlineLevel="0" collapsed="false">
      <c r="A13" s="19" t="n">
        <v>2</v>
      </c>
      <c r="B13" s="21" t="n">
        <v>46317</v>
      </c>
      <c r="C13" s="20" t="s">
        <v>353</v>
      </c>
      <c r="D13" s="20" t="s">
        <v>354</v>
      </c>
      <c r="E13" s="20" t="s">
        <v>355</v>
      </c>
    </row>
    <row r="14" customFormat="false" ht="42" hidden="false" customHeight="true" outlineLevel="0" collapsed="false">
      <c r="A14" s="19" t="n">
        <v>2</v>
      </c>
      <c r="B14" s="21" t="n">
        <v>46318</v>
      </c>
      <c r="C14" s="20" t="s">
        <v>356</v>
      </c>
      <c r="D14" s="20" t="s">
        <v>357</v>
      </c>
      <c r="E14" s="20" t="s">
        <v>349</v>
      </c>
    </row>
    <row r="15" customFormat="false" ht="42" hidden="false" customHeight="true" outlineLevel="0" collapsed="false">
      <c r="A15" s="19" t="n">
        <v>2</v>
      </c>
      <c r="B15" s="21" t="n">
        <v>46322</v>
      </c>
      <c r="C15" s="20"/>
      <c r="D15" s="20"/>
      <c r="E15" s="20"/>
    </row>
    <row r="16" customFormat="false" ht="42" hidden="false" customHeight="true" outlineLevel="0" collapsed="false">
      <c r="A16" s="19" t="n">
        <v>2</v>
      </c>
      <c r="B16" s="21" t="n">
        <v>46323</v>
      </c>
      <c r="C16" s="20"/>
      <c r="D16" s="20"/>
      <c r="E16" s="20"/>
    </row>
    <row r="17" customFormat="false" ht="42" hidden="false" customHeight="true" outlineLevel="0" collapsed="false">
      <c r="A17" s="19" t="n">
        <v>3</v>
      </c>
      <c r="B17" s="21" t="n">
        <v>46326</v>
      </c>
      <c r="C17" s="20"/>
      <c r="D17" s="20"/>
      <c r="E17" s="20"/>
    </row>
    <row r="18" customFormat="false" ht="42" hidden="false" customHeight="true" outlineLevel="0" collapsed="false">
      <c r="A18" s="19" t="n">
        <v>3</v>
      </c>
      <c r="B18" s="21" t="n">
        <v>46329</v>
      </c>
      <c r="C18" s="20"/>
      <c r="D18" s="20"/>
      <c r="E18" s="20"/>
    </row>
    <row r="19" customFormat="false" ht="42" hidden="false" customHeight="true" outlineLevel="0" collapsed="false">
      <c r="A19" s="19" t="n">
        <v>3</v>
      </c>
      <c r="B19" s="21" t="n">
        <v>46331</v>
      </c>
      <c r="C19" s="20"/>
      <c r="D19" s="20"/>
      <c r="E19" s="20"/>
    </row>
    <row r="20" customFormat="false" ht="42" hidden="false" customHeight="true" outlineLevel="0" collapsed="false">
      <c r="A20" s="19" t="n">
        <v>3</v>
      </c>
      <c r="B20" s="21" t="n">
        <v>46333</v>
      </c>
      <c r="C20" s="20"/>
      <c r="D20" s="20"/>
      <c r="E20" s="20"/>
    </row>
    <row r="21" customFormat="false" ht="42" hidden="false" customHeight="true" outlineLevel="0" collapsed="false">
      <c r="A21" s="19" t="n">
        <v>3</v>
      </c>
      <c r="B21" s="21" t="n">
        <v>46336</v>
      </c>
      <c r="C21" s="20"/>
      <c r="D21" s="20"/>
      <c r="E21" s="20"/>
    </row>
    <row r="22" customFormat="false" ht="42" hidden="false" customHeight="true" outlineLevel="0" collapsed="false">
      <c r="A22" s="19" t="n">
        <v>3</v>
      </c>
      <c r="B22" s="21" t="n">
        <v>46338</v>
      </c>
      <c r="C22" s="20"/>
      <c r="D22" s="20"/>
      <c r="E22" s="20"/>
    </row>
    <row r="23" customFormat="false" ht="42" hidden="false" customHeight="true" outlineLevel="0" collapsed="false">
      <c r="A23" s="19" t="n">
        <v>3</v>
      </c>
      <c r="B23" s="21" t="n">
        <v>46340</v>
      </c>
      <c r="C23" s="20"/>
      <c r="D23" s="20"/>
      <c r="E23" s="20"/>
    </row>
    <row r="24" customFormat="false" ht="42" hidden="false" customHeight="true" outlineLevel="0" collapsed="false">
      <c r="A24" s="19" t="n">
        <v>3</v>
      </c>
      <c r="B24" s="21" t="n">
        <v>46343</v>
      </c>
      <c r="C24" s="20"/>
      <c r="D24" s="20"/>
      <c r="E24" s="20"/>
    </row>
    <row r="25" customFormat="false" ht="42" hidden="false" customHeight="true" outlineLevel="0" collapsed="false">
      <c r="A25" s="19" t="n">
        <v>3</v>
      </c>
      <c r="B25" s="21" t="n">
        <v>46345</v>
      </c>
      <c r="C25" s="20"/>
      <c r="D25" s="20"/>
      <c r="E25" s="20"/>
    </row>
  </sheetData>
  <mergeCells count="2">
    <mergeCell ref="A1:E1"/>
    <mergeCell ref="A2:E2"/>
  </mergeCell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6" t="s">
        <v>358</v>
      </c>
      <c r="B1" s="16"/>
      <c r="C1" s="16"/>
    </row>
    <row r="2" customFormat="false" ht="15" hidden="false" customHeight="false" outlineLevel="0" collapsed="false">
      <c r="A2" s="23" t="s">
        <v>359</v>
      </c>
    </row>
    <row r="3" customFormat="false" ht="15" hidden="false" customHeight="false" outlineLevel="0" collapsed="false">
      <c r="A3" s="8" t="s">
        <v>25</v>
      </c>
      <c r="B3" s="8" t="s">
        <v>360</v>
      </c>
      <c r="C3" s="8" t="s">
        <v>361</v>
      </c>
    </row>
    <row r="4" customFormat="false" ht="15" hidden="false" customHeight="false" outlineLevel="0" collapsed="false">
      <c r="A4" s="24" t="s">
        <v>71</v>
      </c>
      <c r="B4" s="25" t="n">
        <f aca="false">COUNTIF('Feature Log'!$C$4:$C$32,A4)</f>
        <v>26</v>
      </c>
      <c r="C4" s="26" t="n">
        <f aca="false">IF(SUM($B$4:$B$7)=0,0,B4/SUM($B$4:$B$7))</f>
        <v>0.896551724137931</v>
      </c>
    </row>
    <row r="5" customFormat="false" ht="15" hidden="false" customHeight="false" outlineLevel="0" collapsed="false">
      <c r="A5" s="24" t="s">
        <v>97</v>
      </c>
      <c r="B5" s="25" t="n">
        <f aca="false">COUNTIF('Feature Log'!$C$4:$C$32,A5)</f>
        <v>3</v>
      </c>
      <c r="C5" s="26" t="n">
        <f aca="false">IF(SUM($B$4:$B$7)=0,0,B5/SUM($B$4:$B$7))</f>
        <v>0.103448275862069</v>
      </c>
    </row>
    <row r="6" customFormat="false" ht="15" hidden="false" customHeight="false" outlineLevel="0" collapsed="false">
      <c r="A6" s="24" t="s">
        <v>139</v>
      </c>
      <c r="B6" s="25" t="n">
        <f aca="false">COUNTIF('Feature Log'!$C$4:$C$32,A6)</f>
        <v>0</v>
      </c>
      <c r="C6" s="26" t="n">
        <f aca="false">IF(SUM($B$4:$B$7)=0,0,B6/SUM($B$4:$B$7))</f>
        <v>0</v>
      </c>
    </row>
    <row r="7" customFormat="false" ht="15" hidden="false" customHeight="false" outlineLevel="0" collapsed="false">
      <c r="A7" s="24" t="s">
        <v>362</v>
      </c>
      <c r="B7" s="25" t="n">
        <f aca="false">COUNTIF('Feature Log'!$C$4:$C$32,A7)</f>
        <v>0</v>
      </c>
      <c r="C7" s="26" t="n">
        <f aca="false">IF(SUM($B$4:$B$7)=0,0,B7/SUM($B$4:$B$7))</f>
        <v>0</v>
      </c>
    </row>
    <row r="8" customFormat="false" ht="15" hidden="false" customHeight="false" outlineLevel="0" collapsed="false">
      <c r="A8" s="27" t="s">
        <v>33</v>
      </c>
      <c r="B8" s="28" t="n">
        <f aca="false">SUM(B4:B7)</f>
        <v>29</v>
      </c>
    </row>
  </sheetData>
  <mergeCells count="1">
    <mergeCell ref="A1:C1"/>
  </mergeCell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D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29" t="s">
        <v>363</v>
      </c>
    </row>
    <row r="2" customFormat="false" ht="15" hidden="false" customHeight="false" outlineLevel="0" collapsed="false">
      <c r="A2" s="23" t="s">
        <v>364</v>
      </c>
    </row>
    <row r="4" customFormat="false" ht="15" hidden="false" customHeight="false" outlineLevel="0" collapsed="false">
      <c r="A4" s="7" t="s">
        <v>365</v>
      </c>
    </row>
    <row r="5" customFormat="false" ht="15" hidden="false" customHeight="false" outlineLevel="0" collapsed="false">
      <c r="A5" s="30" t="s">
        <v>322</v>
      </c>
      <c r="B5" s="30" t="s">
        <v>366</v>
      </c>
      <c r="C5" s="30" t="s">
        <v>367</v>
      </c>
    </row>
    <row r="6" customFormat="false" ht="15" hidden="false" customHeight="false" outlineLevel="0" collapsed="false">
      <c r="A6" s="31" t="n">
        <v>46266</v>
      </c>
      <c r="B6" s="25" t="n">
        <v>10</v>
      </c>
      <c r="C6" s="25" t="n">
        <v>10</v>
      </c>
    </row>
    <row r="7" customFormat="false" ht="15" hidden="false" customHeight="false" outlineLevel="0" collapsed="false">
      <c r="A7" s="31" t="n">
        <v>46267</v>
      </c>
      <c r="B7" s="25" t="n">
        <v>9.2</v>
      </c>
      <c r="C7" s="25" t="n">
        <v>9</v>
      </c>
    </row>
    <row r="8" customFormat="false" ht="15" hidden="false" customHeight="false" outlineLevel="0" collapsed="false">
      <c r="A8" s="31" t="n">
        <v>46268</v>
      </c>
      <c r="B8" s="25" t="n">
        <v>8.4</v>
      </c>
      <c r="C8" s="25" t="n">
        <v>8</v>
      </c>
    </row>
    <row r="9" customFormat="false" ht="15" hidden="false" customHeight="false" outlineLevel="0" collapsed="false">
      <c r="A9" s="31" t="n">
        <v>46269</v>
      </c>
      <c r="B9" s="25" t="n">
        <v>7.6</v>
      </c>
      <c r="C9" s="25" t="n">
        <v>7</v>
      </c>
    </row>
    <row r="10" customFormat="false" ht="15" hidden="false" customHeight="false" outlineLevel="0" collapsed="false">
      <c r="A10" s="31" t="n">
        <v>46270</v>
      </c>
      <c r="B10" s="25" t="n">
        <v>6.8</v>
      </c>
      <c r="C10" s="25" t="n">
        <v>6</v>
      </c>
    </row>
    <row r="11" customFormat="false" ht="15" hidden="false" customHeight="false" outlineLevel="0" collapsed="false">
      <c r="A11" s="31" t="n">
        <v>46271</v>
      </c>
      <c r="B11" s="25" t="n">
        <v>6</v>
      </c>
      <c r="C11" s="25" t="n">
        <v>5</v>
      </c>
    </row>
    <row r="12" customFormat="false" ht="15" hidden="false" customHeight="false" outlineLevel="0" collapsed="false">
      <c r="A12" s="31" t="n">
        <v>46272</v>
      </c>
      <c r="B12" s="25" t="n">
        <v>5.2</v>
      </c>
      <c r="C12" s="25" t="n">
        <v>4</v>
      </c>
    </row>
    <row r="13" customFormat="false" ht="15" hidden="false" customHeight="false" outlineLevel="0" collapsed="false">
      <c r="A13" s="31" t="n">
        <v>46273</v>
      </c>
      <c r="B13" s="25" t="n">
        <v>4.4</v>
      </c>
      <c r="C13" s="25" t="n">
        <v>3</v>
      </c>
    </row>
    <row r="14" customFormat="false" ht="15" hidden="false" customHeight="false" outlineLevel="0" collapsed="false">
      <c r="A14" s="31" t="n">
        <v>46274</v>
      </c>
      <c r="B14" s="25" t="n">
        <v>3.6</v>
      </c>
      <c r="C14" s="25" t="n">
        <v>2</v>
      </c>
    </row>
    <row r="15" customFormat="false" ht="15" hidden="false" customHeight="false" outlineLevel="0" collapsed="false">
      <c r="A15" s="31" t="n">
        <v>46275</v>
      </c>
      <c r="B15" s="25" t="n">
        <v>2.8</v>
      </c>
      <c r="C15" s="25" t="n">
        <v>2</v>
      </c>
    </row>
    <row r="16" customFormat="false" ht="15" hidden="false" customHeight="false" outlineLevel="0" collapsed="false">
      <c r="A16" s="31" t="n">
        <v>46276</v>
      </c>
      <c r="B16" s="25" t="n">
        <v>2</v>
      </c>
      <c r="C16" s="25" t="n">
        <v>1</v>
      </c>
    </row>
    <row r="17" customFormat="false" ht="15" hidden="false" customHeight="false" outlineLevel="0" collapsed="false">
      <c r="A17" s="31" t="n">
        <v>46277</v>
      </c>
      <c r="B17" s="25" t="n">
        <v>1.2</v>
      </c>
      <c r="C17" s="25" t="n">
        <v>1</v>
      </c>
    </row>
    <row r="18" customFormat="false" ht="15" hidden="false" customHeight="false" outlineLevel="0" collapsed="false">
      <c r="A18" s="31" t="n">
        <v>46278</v>
      </c>
      <c r="B18" s="25" t="n">
        <v>0.4</v>
      </c>
      <c r="C18" s="25" t="n">
        <v>0</v>
      </c>
    </row>
    <row r="24" customFormat="false" ht="15" hidden="false" customHeight="false" outlineLevel="0" collapsed="false">
      <c r="A24" s="7" t="s">
        <v>368</v>
      </c>
    </row>
    <row r="25" customFormat="false" ht="28.35" hidden="false" customHeight="false" outlineLevel="0" collapsed="false">
      <c r="A25" s="30" t="s">
        <v>322</v>
      </c>
      <c r="B25" s="30" t="s">
        <v>369</v>
      </c>
      <c r="C25" s="30" t="s">
        <v>370</v>
      </c>
      <c r="D25" s="30" t="s">
        <v>371</v>
      </c>
    </row>
    <row r="26" customFormat="false" ht="15" hidden="false" customHeight="false" outlineLevel="0" collapsed="false">
      <c r="A26" s="31" t="n">
        <v>46284</v>
      </c>
      <c r="B26" s="25" t="n">
        <f aca="false">ROUND('Sprint Backlog'!$G$89*('Sprint Plan'!$D$5-A26)/('Sprint Plan'!$D$5-'Sprint Plan'!$B$5),1)</f>
        <v>207</v>
      </c>
      <c r="C26" s="25" t="n">
        <f aca="true">IF(A26&gt;TODAY(),NA(),'Sprint Backlog'!$G$89-SUMIFS('Sprint Backlog'!$H$4:$H$85,'Sprint Backlog'!$A$4:$A$85,2,'Sprint Backlog'!$G$4:$G$85,"Terminado",'Sprint Backlog'!$J$4:$J$85,"&lt;="&amp;A26))</f>
        <v>207</v>
      </c>
      <c r="D26" s="25" t="n">
        <f aca="true">IF(A26&gt;TODAY(),NA(),'Sprint Backlog'!$E$89-COUNTIFS('Sprint Backlog'!$A$4:$A$85,2,'Sprint Backlog'!$G$4:$G$85,"Terminado",'Sprint Backlog'!$J$4:$J$85,"&lt;="&amp;A26))</f>
        <v>53</v>
      </c>
    </row>
    <row r="27" customFormat="false" ht="15" hidden="false" customHeight="false" outlineLevel="0" collapsed="false">
      <c r="A27" s="31" t="n">
        <v>46288</v>
      </c>
      <c r="B27" s="25" t="n">
        <f aca="false">ROUND('Sprint Backlog'!$G$89*('Sprint Plan'!$D$5-A27)/('Sprint Plan'!$D$5-'Sprint Plan'!$B$5),1)</f>
        <v>186.8</v>
      </c>
      <c r="C27" s="25" t="n">
        <f aca="true">IF(A27&gt;TODAY(),NA(),'Sprint Backlog'!$G$89-SUMIFS('Sprint Backlog'!$H$4:$H$85,'Sprint Backlog'!$A$4:$A$85,2,'Sprint Backlog'!$G$4:$G$85,"Terminado",'Sprint Backlog'!$J$4:$J$85,"&lt;="&amp;A27))</f>
        <v>207</v>
      </c>
      <c r="D27" s="25" t="n">
        <f aca="true">IF(A27&gt;TODAY(),NA(),'Sprint Backlog'!$E$89-COUNTIFS('Sprint Backlog'!$A$4:$A$85,2,'Sprint Backlog'!$G$4:$G$85,"Terminado",'Sprint Backlog'!$J$4:$J$85,"&lt;="&amp;A27))</f>
        <v>53</v>
      </c>
    </row>
    <row r="28" customFormat="false" ht="15" hidden="false" customHeight="false" outlineLevel="0" collapsed="false">
      <c r="A28" s="31" t="n">
        <v>46291</v>
      </c>
      <c r="B28" s="25" t="n">
        <f aca="false">ROUND('Sprint Backlog'!$G$89*('Sprint Plan'!$D$5-A28)/('Sprint Plan'!$D$5-'Sprint Plan'!$B$5),1)</f>
        <v>171.7</v>
      </c>
      <c r="C28" s="25" t="n">
        <f aca="true">IF(A28&gt;TODAY(),NA(),'Sprint Backlog'!$G$89-SUMIFS('Sprint Backlog'!$H$4:$H$85,'Sprint Backlog'!$A$4:$A$85,2,'Sprint Backlog'!$G$4:$G$85,"Terminado",'Sprint Backlog'!$J$4:$J$85,"&lt;="&amp;A28))</f>
        <v>207</v>
      </c>
      <c r="D28" s="25" t="n">
        <f aca="true">IF(A28&gt;TODAY(),NA(),'Sprint Backlog'!$E$89-COUNTIFS('Sprint Backlog'!$A$4:$A$85,2,'Sprint Backlog'!$G$4:$G$85,"Terminado",'Sprint Backlog'!$J$4:$J$85,"&lt;="&amp;A28))</f>
        <v>53</v>
      </c>
    </row>
    <row r="29" customFormat="false" ht="15" hidden="false" customHeight="false" outlineLevel="0" collapsed="false">
      <c r="A29" s="31" t="n">
        <v>46295</v>
      </c>
      <c r="B29" s="25" t="n">
        <f aca="false">ROUND('Sprint Backlog'!$G$89*('Sprint Plan'!$D$5-A29)/('Sprint Plan'!$D$5-'Sprint Plan'!$B$5),1)</f>
        <v>151.5</v>
      </c>
      <c r="C29" s="25" t="n">
        <f aca="true">IF(A29&gt;TODAY(),NA(),'Sprint Backlog'!$G$89-SUMIFS('Sprint Backlog'!$H$4:$H$85,'Sprint Backlog'!$A$4:$A$85,2,'Sprint Backlog'!$G$4:$G$85,"Terminado",'Sprint Backlog'!$J$4:$J$85,"&lt;="&amp;A29))</f>
        <v>169</v>
      </c>
      <c r="D29" s="25" t="n">
        <f aca="true">IF(A29&gt;TODAY(),NA(),'Sprint Backlog'!$E$89-COUNTIFS('Sprint Backlog'!$A$4:$A$85,2,'Sprint Backlog'!$G$4:$G$85,"Terminado",'Sprint Backlog'!$J$4:$J$85,"&lt;="&amp;A29))</f>
        <v>46</v>
      </c>
    </row>
    <row r="30" customFormat="false" ht="15" hidden="false" customHeight="false" outlineLevel="0" collapsed="false">
      <c r="A30" s="31" t="n">
        <v>46299</v>
      </c>
      <c r="B30" s="25" t="n">
        <f aca="false">ROUND('Sprint Backlog'!$G$89*('Sprint Plan'!$D$5-A30)/('Sprint Plan'!$D$5-'Sprint Plan'!$B$5),1)</f>
        <v>131.3</v>
      </c>
      <c r="C30" s="25" t="n">
        <f aca="true">IF(A30&gt;TODAY(),NA(),'Sprint Backlog'!$G$89-SUMIFS('Sprint Backlog'!$H$4:$H$85,'Sprint Backlog'!$A$4:$A$85,2,'Sprint Backlog'!$G$4:$G$85,"Terminado",'Sprint Backlog'!$J$4:$J$85,"&lt;="&amp;A30))</f>
        <v>116</v>
      </c>
      <c r="D30" s="25" t="n">
        <f aca="true">IF(A30&gt;TODAY(),NA(),'Sprint Backlog'!$E$89-COUNTIFS('Sprint Backlog'!$A$4:$A$85,2,'Sprint Backlog'!$G$4:$G$85,"Terminado",'Sprint Backlog'!$J$4:$J$85,"&lt;="&amp;A30))</f>
        <v>37</v>
      </c>
    </row>
    <row r="31" customFormat="false" ht="15" hidden="false" customHeight="false" outlineLevel="0" collapsed="false">
      <c r="A31" s="31" t="n">
        <v>46300</v>
      </c>
      <c r="B31" s="25" t="n">
        <f aca="false">ROUND('Sprint Backlog'!$G$89*('Sprint Plan'!$D$5-A31)/('Sprint Plan'!$D$5-'Sprint Plan'!$B$5),1)</f>
        <v>126.2</v>
      </c>
      <c r="C31" s="25" t="n">
        <f aca="true">IF(A31&gt;TODAY(),NA(),'Sprint Backlog'!$G$89-SUMIFS('Sprint Backlog'!$H$4:$H$85,'Sprint Backlog'!$A$4:$A$85,2,'Sprint Backlog'!$G$4:$G$85,"Terminado",'Sprint Backlog'!$J$4:$J$85,"&lt;="&amp;A31))</f>
        <v>66</v>
      </c>
      <c r="D31" s="25" t="n">
        <f aca="true">IF(A31&gt;TODAY(),NA(),'Sprint Backlog'!$E$89-COUNTIFS('Sprint Backlog'!$A$4:$A$85,2,'Sprint Backlog'!$G$4:$G$85,"Terminado",'Sprint Backlog'!$J$4:$J$85,"&lt;="&amp;A31))</f>
        <v>25</v>
      </c>
    </row>
    <row r="32" customFormat="false" ht="15" hidden="false" customHeight="false" outlineLevel="0" collapsed="false">
      <c r="A32" s="31" t="n">
        <v>46302</v>
      </c>
      <c r="B32" s="25" t="n">
        <f aca="false">ROUND('Sprint Backlog'!$G$89*('Sprint Plan'!$D$5-A32)/('Sprint Plan'!$D$5-'Sprint Plan'!$B$5),1)</f>
        <v>116.1</v>
      </c>
      <c r="C32" s="25" t="n">
        <f aca="true">IF(A32&gt;TODAY(),NA(),'Sprint Backlog'!$G$89-SUMIFS('Sprint Backlog'!$H$4:$H$85,'Sprint Backlog'!$A$4:$A$85,2,'Sprint Backlog'!$G$4:$G$85,"Terminado",'Sprint Backlog'!$J$4:$J$85,"&lt;="&amp;A32))</f>
        <v>57</v>
      </c>
      <c r="D32" s="25" t="n">
        <f aca="true">IF(A32&gt;TODAY(),NA(),'Sprint Backlog'!$E$89-COUNTIFS('Sprint Backlog'!$A$4:$A$85,2,'Sprint Backlog'!$G$4:$G$85,"Terminado",'Sprint Backlog'!$J$4:$J$85,"&lt;="&amp;A32))</f>
        <v>21</v>
      </c>
    </row>
    <row r="33" customFormat="false" ht="15" hidden="false" customHeight="false" outlineLevel="0" collapsed="false">
      <c r="A33" s="31" t="n">
        <v>46308</v>
      </c>
      <c r="B33" s="25" t="n">
        <f aca="false">ROUND('Sprint Backlog'!$G$89*('Sprint Plan'!$D$5-A33)/('Sprint Plan'!$D$5-'Sprint Plan'!$B$5),1)</f>
        <v>85.8</v>
      </c>
      <c r="C33" s="25" t="n">
        <f aca="true">IF(A33&gt;TODAY(),NA(),'Sprint Backlog'!$G$89-SUMIFS('Sprint Backlog'!$H$4:$H$85,'Sprint Backlog'!$A$4:$A$85,2,'Sprint Backlog'!$G$4:$G$85,"Terminado",'Sprint Backlog'!$J$4:$J$85,"&lt;="&amp;A33))</f>
        <v>44</v>
      </c>
      <c r="D33" s="25" t="n">
        <f aca="true">IF(A33&gt;TODAY(),NA(),'Sprint Backlog'!$E$89-COUNTIFS('Sprint Backlog'!$A$4:$A$85,2,'Sprint Backlog'!$G$4:$G$85,"Terminado",'Sprint Backlog'!$J$4:$J$85,"&lt;="&amp;A33))</f>
        <v>17</v>
      </c>
    </row>
    <row r="34" customFormat="false" ht="15" hidden="false" customHeight="false" outlineLevel="0" collapsed="false">
      <c r="A34" s="31" t="n">
        <v>46310</v>
      </c>
      <c r="B34" s="25" t="n">
        <f aca="false">ROUND('Sprint Backlog'!$G$89*('Sprint Plan'!$D$5-A34)/('Sprint Plan'!$D$5-'Sprint Plan'!$B$5),1)</f>
        <v>75.7</v>
      </c>
      <c r="C34" s="25" t="n">
        <f aca="true">IF(A34&gt;TODAY(),NA(),'Sprint Backlog'!$G$89-SUMIFS('Sprint Backlog'!$H$4:$H$85,'Sprint Backlog'!$A$4:$A$85,2,'Sprint Backlog'!$G$4:$G$85,"Terminado",'Sprint Backlog'!$J$4:$J$85,"&lt;="&amp;A34))</f>
        <v>33</v>
      </c>
      <c r="D34" s="25" t="n">
        <f aca="true">IF(A34&gt;TODAY(),NA(),'Sprint Backlog'!$E$89-COUNTIFS('Sprint Backlog'!$A$4:$A$85,2,'Sprint Backlog'!$G$4:$G$85,"Terminado",'Sprint Backlog'!$J$4:$J$85,"&lt;="&amp;A34))</f>
        <v>12</v>
      </c>
    </row>
    <row r="35" customFormat="false" ht="15" hidden="false" customHeight="false" outlineLevel="0" collapsed="false">
      <c r="A35" s="31" t="n">
        <v>46316</v>
      </c>
      <c r="B35" s="25" t="n">
        <f aca="false">ROUND('Sprint Backlog'!$G$89*('Sprint Plan'!$D$5-A35)/('Sprint Plan'!$D$5-'Sprint Plan'!$B$5),1)</f>
        <v>45.4</v>
      </c>
      <c r="C35" s="25" t="n">
        <f aca="true">IF(A35&gt;TODAY(),NA(),'Sprint Backlog'!$G$89-SUMIFS('Sprint Backlog'!$H$4:$H$85,'Sprint Backlog'!$A$4:$A$85,2,'Sprint Backlog'!$G$4:$G$85,"Terminado",'Sprint Backlog'!$J$4:$J$85,"&lt;="&amp;A35))</f>
        <v>24</v>
      </c>
      <c r="D35" s="25" t="n">
        <f aca="true">IF(A35&gt;TODAY(),NA(),'Sprint Backlog'!$E$89-COUNTIFS('Sprint Backlog'!$A$4:$A$85,2,'Sprint Backlog'!$G$4:$G$85,"Terminado",'Sprint Backlog'!$J$4:$J$85,"&lt;="&amp;A35))</f>
        <v>8</v>
      </c>
    </row>
    <row r="36" customFormat="false" ht="15" hidden="false" customHeight="false" outlineLevel="0" collapsed="false">
      <c r="A36" s="31" t="n">
        <v>46317</v>
      </c>
      <c r="B36" s="25" t="n">
        <f aca="false">ROUND('Sprint Backlog'!$G$89*('Sprint Plan'!$D$5-A36)/('Sprint Plan'!$D$5-'Sprint Plan'!$B$5),1)</f>
        <v>40.4</v>
      </c>
      <c r="C36" s="25" t="n">
        <f aca="true">IF(A36&gt;TODAY(),NA(),'Sprint Backlog'!$G$89-SUMIFS('Sprint Backlog'!$H$4:$H$85,'Sprint Backlog'!$A$4:$A$85,2,'Sprint Backlog'!$G$4:$G$85,"Terminado",'Sprint Backlog'!$J$4:$J$85,"&lt;="&amp;A36))</f>
        <v>16</v>
      </c>
      <c r="D36" s="25" t="n">
        <f aca="true">IF(A36&gt;TODAY(),NA(),'Sprint Backlog'!$E$89-COUNTIFS('Sprint Backlog'!$A$4:$A$85,2,'Sprint Backlog'!$G$4:$G$85,"Terminado",'Sprint Backlog'!$J$4:$J$85,"&lt;="&amp;A36))</f>
        <v>6</v>
      </c>
    </row>
    <row r="37" customFormat="false" ht="15" hidden="false" customHeight="false" outlineLevel="0" collapsed="false">
      <c r="A37" s="31" t="n">
        <v>46318</v>
      </c>
      <c r="B37" s="25" t="n">
        <f aca="false">ROUND('Sprint Backlog'!$G$89*('Sprint Plan'!$D$5-A37)/('Sprint Plan'!$D$5-'Sprint Plan'!$B$5),1)</f>
        <v>35.3</v>
      </c>
      <c r="C37" s="25" t="n">
        <f aca="true">IF(A37&gt;TODAY(),NA(),'Sprint Backlog'!$G$89-SUMIFS('Sprint Backlog'!$H$4:$H$85,'Sprint Backlog'!$A$4:$A$85,2,'Sprint Backlog'!$G$4:$G$85,"Terminado",'Sprint Backlog'!$J$4:$J$85,"&lt;="&amp;A37))</f>
        <v>12</v>
      </c>
      <c r="D37" s="25" t="n">
        <f aca="true">IF(A37&gt;TODAY(),NA(),'Sprint Backlog'!$E$89-COUNTIFS('Sprint Backlog'!$A$4:$A$85,2,'Sprint Backlog'!$G$4:$G$85,"Terminado",'Sprint Backlog'!$J$4:$J$85,"&lt;="&amp;A37))</f>
        <v>5</v>
      </c>
    </row>
    <row r="38" customFormat="false" ht="15" hidden="false" customHeight="false" outlineLevel="0" collapsed="false">
      <c r="A38" s="31" t="n">
        <v>46320</v>
      </c>
      <c r="B38" s="25" t="n">
        <f aca="false">ROUND('Sprint Backlog'!$G$89*('Sprint Plan'!$D$5-A38)/('Sprint Plan'!$D$5-'Sprint Plan'!$B$5),1)</f>
        <v>25.2</v>
      </c>
      <c r="C38" s="25" t="e">
        <f aca="true">IF(A38&gt;TODAY(),NA(),'Sprint Backlog'!$G$89-SUMIFS('Sprint Backlog'!$H$4:$H$85,'Sprint Backlog'!$A$4:$A$85,2,'Sprint Backlog'!$G$4:$G$85,"Terminado",'Sprint Backlog'!$J$4:$J$85,"&lt;="&amp;A38))</f>
        <v>#N/A</v>
      </c>
      <c r="D38" s="25" t="e">
        <f aca="true">IF(A38&gt;TODAY(),NA(),'Sprint Backlog'!$E$89-COUNTIFS('Sprint Backlog'!$A$4:$A$85,2,'Sprint Backlog'!$G$4:$G$85,"Terminado",'Sprint Backlog'!$J$4:$J$85,"&lt;="&amp;A38))</f>
        <v>#N/A</v>
      </c>
    </row>
    <row r="39" customFormat="false" ht="15" hidden="false" customHeight="false" outlineLevel="0" collapsed="false">
      <c r="A39" s="31" t="n">
        <v>46323</v>
      </c>
      <c r="B39" s="25" t="n">
        <f aca="false">ROUND('Sprint Backlog'!$G$89*('Sprint Plan'!$D$5-A39)/('Sprint Plan'!$D$5-'Sprint Plan'!$B$5),1)</f>
        <v>10.1</v>
      </c>
      <c r="C39" s="25" t="e">
        <f aca="true">IF(A39&gt;TODAY(),NA(),'Sprint Backlog'!$G$89-SUMIFS('Sprint Backlog'!$H$4:$H$85,'Sprint Backlog'!$A$4:$A$85,2,'Sprint Backlog'!$G$4:$G$85,"Terminado",'Sprint Backlog'!$J$4:$J$85,"&lt;="&amp;A39))</f>
        <v>#N/A</v>
      </c>
      <c r="D39" s="25" t="e">
        <f aca="true">IF(A39&gt;TODAY(),NA(),'Sprint Backlog'!$E$89-COUNTIFS('Sprint Backlog'!$A$4:$A$85,2,'Sprint Backlog'!$G$4:$G$85,"Terminado",'Sprint Backlog'!$J$4:$J$85,"&lt;="&amp;A39))</f>
        <v>#N/A</v>
      </c>
    </row>
    <row r="40" customFormat="false" ht="15" hidden="false" customHeight="false" outlineLevel="0" collapsed="false">
      <c r="A40" s="31" t="n">
        <v>46325</v>
      </c>
      <c r="B40" s="25" t="n">
        <f aca="false">ROUND('Sprint Backlog'!$G$89*('Sprint Plan'!$D$5-A40)/('Sprint Plan'!$D$5-'Sprint Plan'!$B$5),1)</f>
        <v>0</v>
      </c>
      <c r="C40" s="25" t="e">
        <f aca="true">IF(A40&gt;TODAY(),NA(),'Sprint Backlog'!$G$89-SUMIFS('Sprint Backlog'!$H$4:$H$85,'Sprint Backlog'!$A$4:$A$85,2,'Sprint Backlog'!$G$4:$G$85,"Terminado",'Sprint Backlog'!$J$4:$J$85,"&lt;="&amp;A40))</f>
        <v>#N/A</v>
      </c>
      <c r="D40" s="25" t="e">
        <f aca="true">IF(A40&gt;TODAY(),NA(),'Sprint Backlog'!$E$89-COUNTIFS('Sprint Backlog'!$A$4:$A$85,2,'Sprint Backlog'!$G$4:$G$85,"Terminado",'Sprint Backlog'!$J$4:$J$85,"&lt;="&amp;A40))</f>
        <v>#N/A</v>
      </c>
    </row>
    <row r="44" customFormat="false" ht="15" hidden="false" customHeight="false" outlineLevel="0" collapsed="false">
      <c r="A44" s="7" t="s">
        <v>372</v>
      </c>
    </row>
    <row r="45" customFormat="false" ht="28.35" hidden="false" customHeight="false" outlineLevel="0" collapsed="false">
      <c r="A45" s="30" t="s">
        <v>322</v>
      </c>
      <c r="B45" s="30" t="s">
        <v>369</v>
      </c>
      <c r="C45" s="30" t="s">
        <v>370</v>
      </c>
      <c r="D45" s="30" t="s">
        <v>371</v>
      </c>
    </row>
    <row r="46" customFormat="false" ht="15" hidden="false" customHeight="false" outlineLevel="0" collapsed="false">
      <c r="A46" s="31" t="n">
        <v>46326</v>
      </c>
      <c r="B46" s="25" t="n">
        <f aca="false">ROUND('Sprint Backlog'!$G$90*('Sprint Plan'!$D$6-A46)/('Sprint Plan'!$D$6-'Sprint Plan'!$B$6),1)</f>
        <v>27</v>
      </c>
      <c r="C46" s="25" t="e">
        <f aca="true">IF(A46&gt;TODAY(),NA(),'Sprint Backlog'!$G$90-SUMIFS('Sprint Backlog'!$H$4:$H$85,'Sprint Backlog'!$A$4:$A$85,3,'Sprint Backlog'!$G$4:$G$85,"Terminado",'Sprint Backlog'!$J$4:$J$85,"&lt;="&amp;A46))</f>
        <v>#N/A</v>
      </c>
      <c r="D46" s="25" t="e">
        <f aca="true">IF(A46&gt;TODAY(),NA(),'Sprint Backlog'!$E$90-COUNTIFS('Sprint Backlog'!$A$4:$A$85,3,'Sprint Backlog'!$G$4:$G$85,"Terminado",'Sprint Backlog'!$J$4:$J$85,"&lt;="&amp;A46))</f>
        <v>#N/A</v>
      </c>
    </row>
    <row r="47" customFormat="false" ht="15" hidden="false" customHeight="false" outlineLevel="0" collapsed="false">
      <c r="A47" s="31" t="n">
        <v>46329</v>
      </c>
      <c r="B47" s="25" t="n">
        <f aca="false">ROUND('Sprint Backlog'!$G$90*('Sprint Plan'!$D$6-A47)/('Sprint Plan'!$D$6-'Sprint Plan'!$B$6),1)</f>
        <v>23</v>
      </c>
      <c r="C47" s="25" t="e">
        <f aca="true">IF(A47&gt;TODAY(),NA(),'Sprint Backlog'!$G$90-SUMIFS('Sprint Backlog'!$H$4:$H$85,'Sprint Backlog'!$A$4:$A$85,3,'Sprint Backlog'!$G$4:$G$85,"Terminado",'Sprint Backlog'!$J$4:$J$85,"&lt;="&amp;A47))</f>
        <v>#N/A</v>
      </c>
      <c r="D47" s="25" t="e">
        <f aca="true">IF(A47&gt;TODAY(),NA(),'Sprint Backlog'!$E$90-COUNTIFS('Sprint Backlog'!$A$4:$A$85,3,'Sprint Backlog'!$G$4:$G$85,"Terminado",'Sprint Backlog'!$J$4:$J$85,"&lt;="&amp;A47))</f>
        <v>#N/A</v>
      </c>
    </row>
    <row r="48" customFormat="false" ht="15" hidden="false" customHeight="false" outlineLevel="0" collapsed="false">
      <c r="A48" s="31" t="n">
        <v>46331</v>
      </c>
      <c r="B48" s="25" t="n">
        <f aca="false">ROUND('Sprint Backlog'!$G$90*('Sprint Plan'!$D$6-A48)/('Sprint Plan'!$D$6-'Sprint Plan'!$B$6),1)</f>
        <v>20.3</v>
      </c>
      <c r="C48" s="25" t="e">
        <f aca="true">IF(A48&gt;TODAY(),NA(),'Sprint Backlog'!$G$90-SUMIFS('Sprint Backlog'!$H$4:$H$85,'Sprint Backlog'!$A$4:$A$85,3,'Sprint Backlog'!$G$4:$G$85,"Terminado",'Sprint Backlog'!$J$4:$J$85,"&lt;="&amp;A48))</f>
        <v>#N/A</v>
      </c>
      <c r="D48" s="25" t="e">
        <f aca="true">IF(A48&gt;TODAY(),NA(),'Sprint Backlog'!$E$90-COUNTIFS('Sprint Backlog'!$A$4:$A$85,3,'Sprint Backlog'!$G$4:$G$85,"Terminado",'Sprint Backlog'!$J$4:$J$85,"&lt;="&amp;A48))</f>
        <v>#N/A</v>
      </c>
    </row>
    <row r="49" customFormat="false" ht="15" hidden="false" customHeight="false" outlineLevel="0" collapsed="false">
      <c r="A49" s="31" t="n">
        <v>46333</v>
      </c>
      <c r="B49" s="25" t="n">
        <f aca="false">ROUND('Sprint Backlog'!$G$90*('Sprint Plan'!$D$6-A49)/('Sprint Plan'!$D$6-'Sprint Plan'!$B$6),1)</f>
        <v>17.6</v>
      </c>
      <c r="C49" s="25" t="e">
        <f aca="true">IF(A49&gt;TODAY(),NA(),'Sprint Backlog'!$G$90-SUMIFS('Sprint Backlog'!$H$4:$H$85,'Sprint Backlog'!$A$4:$A$85,3,'Sprint Backlog'!$G$4:$G$85,"Terminado",'Sprint Backlog'!$J$4:$J$85,"&lt;="&amp;A49))</f>
        <v>#N/A</v>
      </c>
      <c r="D49" s="25" t="e">
        <f aca="true">IF(A49&gt;TODAY(),NA(),'Sprint Backlog'!$E$90-COUNTIFS('Sprint Backlog'!$A$4:$A$85,3,'Sprint Backlog'!$G$4:$G$85,"Terminado",'Sprint Backlog'!$J$4:$J$85,"&lt;="&amp;A49))</f>
        <v>#N/A</v>
      </c>
    </row>
    <row r="50" customFormat="false" ht="15" hidden="false" customHeight="false" outlineLevel="0" collapsed="false">
      <c r="A50" s="31" t="n">
        <v>46336</v>
      </c>
      <c r="B50" s="25" t="n">
        <f aca="false">ROUND('Sprint Backlog'!$G$90*('Sprint Plan'!$D$6-A50)/('Sprint Plan'!$D$6-'Sprint Plan'!$B$6),1)</f>
        <v>13.5</v>
      </c>
      <c r="C50" s="25" t="e">
        <f aca="true">IF(A50&gt;TODAY(),NA(),'Sprint Backlog'!$G$90-SUMIFS('Sprint Backlog'!$H$4:$H$85,'Sprint Backlog'!$A$4:$A$85,3,'Sprint Backlog'!$G$4:$G$85,"Terminado",'Sprint Backlog'!$J$4:$J$85,"&lt;="&amp;A50))</f>
        <v>#N/A</v>
      </c>
      <c r="D50" s="25" t="e">
        <f aca="true">IF(A50&gt;TODAY(),NA(),'Sprint Backlog'!$E$90-COUNTIFS('Sprint Backlog'!$A$4:$A$85,3,'Sprint Backlog'!$G$4:$G$85,"Terminado",'Sprint Backlog'!$J$4:$J$85,"&lt;="&amp;A50))</f>
        <v>#N/A</v>
      </c>
    </row>
    <row r="51" customFormat="false" ht="15" hidden="false" customHeight="false" outlineLevel="0" collapsed="false">
      <c r="A51" s="31" t="n">
        <v>46338</v>
      </c>
      <c r="B51" s="25" t="n">
        <f aca="false">ROUND('Sprint Backlog'!$G$90*('Sprint Plan'!$D$6-A51)/('Sprint Plan'!$D$6-'Sprint Plan'!$B$6),1)</f>
        <v>10.8</v>
      </c>
      <c r="C51" s="25" t="e">
        <f aca="true">IF(A51&gt;TODAY(),NA(),'Sprint Backlog'!$G$90-SUMIFS('Sprint Backlog'!$H$4:$H$85,'Sprint Backlog'!$A$4:$A$85,3,'Sprint Backlog'!$G$4:$G$85,"Terminado",'Sprint Backlog'!$J$4:$J$85,"&lt;="&amp;A51))</f>
        <v>#N/A</v>
      </c>
      <c r="D51" s="25" t="e">
        <f aca="true">IF(A51&gt;TODAY(),NA(),'Sprint Backlog'!$E$90-COUNTIFS('Sprint Backlog'!$A$4:$A$85,3,'Sprint Backlog'!$G$4:$G$85,"Terminado",'Sprint Backlog'!$J$4:$J$85,"&lt;="&amp;A51))</f>
        <v>#N/A</v>
      </c>
    </row>
    <row r="52" customFormat="false" ht="15" hidden="false" customHeight="false" outlineLevel="0" collapsed="false">
      <c r="A52" s="31" t="n">
        <v>46340</v>
      </c>
      <c r="B52" s="25" t="n">
        <f aca="false">ROUND('Sprint Backlog'!$G$90*('Sprint Plan'!$D$6-A52)/('Sprint Plan'!$D$6-'Sprint Plan'!$B$6),1)</f>
        <v>8.1</v>
      </c>
      <c r="C52" s="25" t="e">
        <f aca="true">IF(A52&gt;TODAY(),NA(),'Sprint Backlog'!$G$90-SUMIFS('Sprint Backlog'!$H$4:$H$85,'Sprint Backlog'!$A$4:$A$85,3,'Sprint Backlog'!$G$4:$G$85,"Terminado",'Sprint Backlog'!$J$4:$J$85,"&lt;="&amp;A52))</f>
        <v>#N/A</v>
      </c>
      <c r="D52" s="25" t="e">
        <f aca="true">IF(A52&gt;TODAY(),NA(),'Sprint Backlog'!$E$90-COUNTIFS('Sprint Backlog'!$A$4:$A$85,3,'Sprint Backlog'!$G$4:$G$85,"Terminado",'Sprint Backlog'!$J$4:$J$85,"&lt;="&amp;A52))</f>
        <v>#N/A</v>
      </c>
    </row>
    <row r="53" customFormat="false" ht="15" hidden="false" customHeight="false" outlineLevel="0" collapsed="false">
      <c r="A53" s="31" t="n">
        <v>46343</v>
      </c>
      <c r="B53" s="25" t="n">
        <f aca="false">ROUND('Sprint Backlog'!$G$90*('Sprint Plan'!$D$6-A53)/('Sprint Plan'!$D$6-'Sprint Plan'!$B$6),1)</f>
        <v>4.1</v>
      </c>
      <c r="C53" s="25" t="e">
        <f aca="true">IF(A53&gt;TODAY(),NA(),'Sprint Backlog'!$G$90-SUMIFS('Sprint Backlog'!$H$4:$H$85,'Sprint Backlog'!$A$4:$A$85,3,'Sprint Backlog'!$G$4:$G$85,"Terminado",'Sprint Backlog'!$J$4:$J$85,"&lt;="&amp;A53))</f>
        <v>#N/A</v>
      </c>
      <c r="D53" s="25" t="e">
        <f aca="true">IF(A53&gt;TODAY(),NA(),'Sprint Backlog'!$E$90-COUNTIFS('Sprint Backlog'!$A$4:$A$85,3,'Sprint Backlog'!$G$4:$G$85,"Terminado",'Sprint Backlog'!$J$4:$J$85,"&lt;="&amp;A53))</f>
        <v>#N/A</v>
      </c>
    </row>
    <row r="54" customFormat="false" ht="15" hidden="false" customHeight="false" outlineLevel="0" collapsed="false">
      <c r="A54" s="31" t="n">
        <v>46345</v>
      </c>
      <c r="B54" s="25" t="n">
        <f aca="false">ROUND('Sprint Backlog'!$G$90*('Sprint Plan'!$D$6-A54)/('Sprint Plan'!$D$6-'Sprint Plan'!$B$6),1)</f>
        <v>1.4</v>
      </c>
      <c r="C54" s="25" t="e">
        <f aca="true">IF(A54&gt;TODAY(),NA(),'Sprint Backlog'!$G$90-SUMIFS('Sprint Backlog'!$H$4:$H$85,'Sprint Backlog'!$A$4:$A$85,3,'Sprint Backlog'!$G$4:$G$85,"Terminado",'Sprint Backlog'!$J$4:$J$85,"&lt;="&amp;A54))</f>
        <v>#N/A</v>
      </c>
      <c r="D54" s="25" t="e">
        <f aca="true">IF(A54&gt;TODAY(),NA(),'Sprint Backlog'!$E$90-COUNTIFS('Sprint Backlog'!$A$4:$A$85,3,'Sprint Backlog'!$G$4:$G$85,"Terminado",'Sprint Backlog'!$J$4:$J$85,"&lt;="&amp;A54))</f>
        <v>#N/A</v>
      </c>
    </row>
    <row r="55" customFormat="false" ht="15" hidden="false" customHeight="false" outlineLevel="0" collapsed="false">
      <c r="A55" s="31" t="n">
        <v>46346</v>
      </c>
      <c r="B55" s="25" t="n">
        <f aca="false">ROUND('Sprint Backlog'!$G$90*('Sprint Plan'!$D$6-A55)/('Sprint Plan'!$D$6-'Sprint Plan'!$B$6),1)</f>
        <v>0</v>
      </c>
      <c r="C55" s="25" t="e">
        <f aca="true">IF(A55&gt;TODAY(),NA(),'Sprint Backlog'!$G$90-SUMIFS('Sprint Backlog'!$H$4:$H$85,'Sprint Backlog'!$A$4:$A$85,3,'Sprint Backlog'!$G$4:$G$85,"Terminado",'Sprint Backlog'!$J$4:$J$85,"&lt;="&amp;A55))</f>
        <v>#N/A</v>
      </c>
      <c r="D55" s="25" t="e">
        <f aca="true">IF(A55&gt;TODAY(),NA(),'Sprint Backlog'!$E$90-COUNTIFS('Sprint Backlog'!$A$4:$A$85,3,'Sprint Backlog'!$G$4:$G$85,"Terminado",'Sprint Backlog'!$J$4:$J$85,"&lt;="&amp;A55))</f>
        <v>#N/A</v>
      </c>
    </row>
    <row r="64" customFormat="false" ht="15" hidden="false" customHeight="false" outlineLevel="0" collapsed="false">
      <c r="A64" s="7" t="s">
        <v>373</v>
      </c>
    </row>
    <row r="65" customFormat="false" ht="28.35" hidden="false" customHeight="false" outlineLevel="0" collapsed="false">
      <c r="A65" s="30" t="s">
        <v>322</v>
      </c>
      <c r="B65" s="30" t="s">
        <v>369</v>
      </c>
      <c r="C65" s="30" t="s">
        <v>370</v>
      </c>
      <c r="D65" s="30" t="s">
        <v>371</v>
      </c>
    </row>
    <row r="66" customFormat="false" ht="15" hidden="false" customHeight="false" outlineLevel="0" collapsed="false">
      <c r="A66" s="31" t="n">
        <v>46347</v>
      </c>
      <c r="B66" s="25" t="n">
        <f aca="false">ROUND('Sprint Backlog'!$G$91*('Sprint Plan'!$D$7-A66)/('Sprint Plan'!$D$7-'Sprint Plan'!$B$7),1)</f>
        <v>14</v>
      </c>
      <c r="C66" s="25" t="e">
        <f aca="true">IF(A66&gt;TODAY(),NA(),'Sprint Backlog'!$G$91-SUMIFS('Sprint Backlog'!$H$4:$H$85,'Sprint Backlog'!$A$4:$A$85,4,'Sprint Backlog'!$G$4:$G$85,"Terminado",'Sprint Backlog'!$J$4:$J$85,"&lt;="&amp;A66))</f>
        <v>#N/A</v>
      </c>
      <c r="D66" s="25" t="e">
        <f aca="true">IF(A66&gt;TODAY(),NA(),'Sprint Backlog'!$E$91-COUNTIFS('Sprint Backlog'!$A$4:$A$85,4,'Sprint Backlog'!$G$4:$G$85,"Terminado",'Sprint Backlog'!$J$4:$J$85,"&lt;="&amp;A66))</f>
        <v>#N/A</v>
      </c>
    </row>
    <row r="67" customFormat="false" ht="15" hidden="false" customHeight="false" outlineLevel="0" collapsed="false">
      <c r="A67" s="31" t="n">
        <v>46349</v>
      </c>
      <c r="B67" s="25" t="n">
        <f aca="false">ROUND('Sprint Backlog'!$G$91*('Sprint Plan'!$D$7-A67)/('Sprint Plan'!$D$7-'Sprint Plan'!$B$7),1)</f>
        <v>10.9</v>
      </c>
      <c r="C67" s="25" t="e">
        <f aca="true">IF(A67&gt;TODAY(),NA(),'Sprint Backlog'!$G$91-SUMIFS('Sprint Backlog'!$H$4:$H$85,'Sprint Backlog'!$A$4:$A$85,4,'Sprint Backlog'!$G$4:$G$85,"Terminado",'Sprint Backlog'!$J$4:$J$85,"&lt;="&amp;A67))</f>
        <v>#N/A</v>
      </c>
      <c r="D67" s="25" t="e">
        <f aca="true">IF(A67&gt;TODAY(),NA(),'Sprint Backlog'!$E$91-COUNTIFS('Sprint Backlog'!$A$4:$A$85,4,'Sprint Backlog'!$G$4:$G$85,"Terminado",'Sprint Backlog'!$J$4:$J$85,"&lt;="&amp;A67))</f>
        <v>#N/A</v>
      </c>
    </row>
    <row r="68" customFormat="false" ht="15" hidden="false" customHeight="false" outlineLevel="0" collapsed="false">
      <c r="A68" s="31" t="n">
        <v>46351</v>
      </c>
      <c r="B68" s="25" t="n">
        <f aca="false">ROUND('Sprint Backlog'!$G$91*('Sprint Plan'!$D$7-A68)/('Sprint Plan'!$D$7-'Sprint Plan'!$B$7),1)</f>
        <v>7.8</v>
      </c>
      <c r="C68" s="25" t="e">
        <f aca="true">IF(A68&gt;TODAY(),NA(),'Sprint Backlog'!$G$91-SUMIFS('Sprint Backlog'!$H$4:$H$85,'Sprint Backlog'!$A$4:$A$85,4,'Sprint Backlog'!$G$4:$G$85,"Terminado",'Sprint Backlog'!$J$4:$J$85,"&lt;="&amp;A68))</f>
        <v>#N/A</v>
      </c>
      <c r="D68" s="25" t="e">
        <f aca="true">IF(A68&gt;TODAY(),NA(),'Sprint Backlog'!$E$91-COUNTIFS('Sprint Backlog'!$A$4:$A$85,4,'Sprint Backlog'!$G$4:$G$85,"Terminado",'Sprint Backlog'!$J$4:$J$85,"&lt;="&amp;A68))</f>
        <v>#N/A</v>
      </c>
    </row>
    <row r="69" customFormat="false" ht="15" hidden="false" customHeight="false" outlineLevel="0" collapsed="false">
      <c r="A69" s="31" t="n">
        <v>46353</v>
      </c>
      <c r="B69" s="25" t="n">
        <f aca="false">ROUND('Sprint Backlog'!$G$91*('Sprint Plan'!$D$7-A69)/('Sprint Plan'!$D$7-'Sprint Plan'!$B$7),1)</f>
        <v>4.7</v>
      </c>
      <c r="C69" s="25" t="e">
        <f aca="true">IF(A69&gt;TODAY(),NA(),'Sprint Backlog'!$G$91-SUMIFS('Sprint Backlog'!$H$4:$H$85,'Sprint Backlog'!$A$4:$A$85,4,'Sprint Backlog'!$G$4:$G$85,"Terminado",'Sprint Backlog'!$J$4:$J$85,"&lt;="&amp;A69))</f>
        <v>#N/A</v>
      </c>
      <c r="D69" s="25" t="e">
        <f aca="true">IF(A69&gt;TODAY(),NA(),'Sprint Backlog'!$E$91-COUNTIFS('Sprint Backlog'!$A$4:$A$85,4,'Sprint Backlog'!$G$4:$G$85,"Terminado",'Sprint Backlog'!$J$4:$J$85,"&lt;="&amp;A69))</f>
        <v>#N/A</v>
      </c>
    </row>
    <row r="70" customFormat="false" ht="15" hidden="false" customHeight="false" outlineLevel="0" collapsed="false">
      <c r="A70" s="31" t="n">
        <v>46355</v>
      </c>
      <c r="B70" s="25" t="n">
        <f aca="false">ROUND('Sprint Backlog'!$G$91*('Sprint Plan'!$D$7-A70)/('Sprint Plan'!$D$7-'Sprint Plan'!$B$7),1)</f>
        <v>1.6</v>
      </c>
      <c r="C70" s="25" t="e">
        <f aca="true">IF(A70&gt;TODAY(),NA(),'Sprint Backlog'!$G$91-SUMIFS('Sprint Backlog'!$H$4:$H$85,'Sprint Backlog'!$A$4:$A$85,4,'Sprint Backlog'!$G$4:$G$85,"Terminado",'Sprint Backlog'!$J$4:$J$85,"&lt;="&amp;A70))</f>
        <v>#N/A</v>
      </c>
      <c r="D70" s="25" t="e">
        <f aca="true">IF(A70&gt;TODAY(),NA(),'Sprint Backlog'!$E$91-COUNTIFS('Sprint Backlog'!$A$4:$A$85,4,'Sprint Backlog'!$G$4:$G$85,"Terminado",'Sprint Backlog'!$J$4:$J$85,"&lt;="&amp;A70))</f>
        <v>#N/A</v>
      </c>
    </row>
    <row r="71" customFormat="false" ht="15" hidden="false" customHeight="false" outlineLevel="0" collapsed="false">
      <c r="A71" s="31" t="n">
        <v>46356</v>
      </c>
      <c r="B71" s="25" t="n">
        <f aca="false">ROUND('Sprint Backlog'!$G$91*('Sprint Plan'!$D$7-A71)/('Sprint Plan'!$D$7-'Sprint Plan'!$B$7),1)</f>
        <v>0</v>
      </c>
      <c r="C71" s="25" t="e">
        <f aca="true">IF(A71&gt;TODAY(),NA(),'Sprint Backlog'!$G$91-SUMIFS('Sprint Backlog'!$H$4:$H$85,'Sprint Backlog'!$A$4:$A$85,4,'Sprint Backlog'!$G$4:$G$85,"Terminado",'Sprint Backlog'!$J$4:$J$85,"&lt;="&amp;A71))</f>
        <v>#N/A</v>
      </c>
      <c r="D71" s="25" t="e">
        <f aca="true">IF(A71&gt;TODAY(),NA(),'Sprint Backlog'!$E$91-COUNTIFS('Sprint Backlog'!$A$4:$A$85,4,'Sprint Backlog'!$G$4:$G$85,"Terminado",'Sprint Backlog'!$J$4:$J$85,"&lt;="&amp;A71))</f>
        <v>#N/A</v>
      </c>
    </row>
  </sheetData>
  <conditionalFormatting sqref="C26:D40">
    <cfRule type="expression" priority="2" aboveAverage="0" equalAverage="0" bottom="0" percent="0" rank="0" text="" dxfId="10">
      <formula>ISNA(C26)</formula>
    </cfRule>
  </conditionalFormatting>
  <conditionalFormatting sqref="C46:D55">
    <cfRule type="expression" priority="3" aboveAverage="0" equalAverage="0" bottom="0" percent="0" rank="0" text="" dxfId="10">
      <formula>ISNA(C46)</formula>
    </cfRule>
  </conditionalFormatting>
  <conditionalFormatting sqref="C66:D71">
    <cfRule type="expression" priority="4" aboveAverage="0" equalAverage="0" bottom="0" percent="0" rank="0" text="" dxfId="10">
      <formula>ISNA(C66)</formula>
    </cfRule>
  </conditionalFormatting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C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29" t="s">
        <v>374</v>
      </c>
    </row>
    <row r="2" customFormat="false" ht="15" hidden="false" customHeight="false" outlineLevel="0" collapsed="false">
      <c r="A2" s="23" t="s">
        <v>375</v>
      </c>
    </row>
    <row r="4" customFormat="false" ht="15" hidden="false" customHeight="false" outlineLevel="0" collapsed="false">
      <c r="A4" s="7" t="s">
        <v>365</v>
      </c>
    </row>
    <row r="5" customFormat="false" ht="15" hidden="false" customHeight="false" outlineLevel="0" collapsed="false">
      <c r="A5" s="30" t="s">
        <v>322</v>
      </c>
      <c r="B5" s="30" t="s">
        <v>27</v>
      </c>
      <c r="C5" s="30" t="s">
        <v>376</v>
      </c>
    </row>
    <row r="6" customFormat="false" ht="15" hidden="false" customHeight="false" outlineLevel="0" collapsed="false">
      <c r="A6" s="31" t="n">
        <v>46266</v>
      </c>
      <c r="B6" s="25" t="n">
        <v>1</v>
      </c>
      <c r="C6" s="25" t="n">
        <v>3</v>
      </c>
    </row>
    <row r="7" customFormat="false" ht="15" hidden="false" customHeight="false" outlineLevel="0" collapsed="false">
      <c r="A7" s="31" t="n">
        <v>46267</v>
      </c>
      <c r="B7" s="25" t="n">
        <v>2</v>
      </c>
      <c r="C7" s="25" t="n">
        <v>2</v>
      </c>
    </row>
    <row r="8" customFormat="false" ht="15" hidden="false" customHeight="false" outlineLevel="0" collapsed="false">
      <c r="A8" s="31" t="n">
        <v>46268</v>
      </c>
      <c r="B8" s="25" t="n">
        <v>3</v>
      </c>
      <c r="C8" s="25" t="n">
        <v>2</v>
      </c>
    </row>
    <row r="9" customFormat="false" ht="15" hidden="false" customHeight="false" outlineLevel="0" collapsed="false">
      <c r="A9" s="31" t="n">
        <v>46269</v>
      </c>
      <c r="B9" s="25" t="n">
        <v>4</v>
      </c>
      <c r="C9" s="25" t="n">
        <v>2</v>
      </c>
    </row>
    <row r="10" customFormat="false" ht="15" hidden="false" customHeight="false" outlineLevel="0" collapsed="false">
      <c r="A10" s="31" t="n">
        <v>46270</v>
      </c>
      <c r="B10" s="25" t="n">
        <v>5</v>
      </c>
      <c r="C10" s="25" t="n">
        <v>2</v>
      </c>
    </row>
    <row r="11" customFormat="false" ht="15" hidden="false" customHeight="false" outlineLevel="0" collapsed="false">
      <c r="A11" s="31" t="n">
        <v>46271</v>
      </c>
      <c r="B11" s="25" t="n">
        <v>6</v>
      </c>
      <c r="C11" s="25" t="n">
        <v>2</v>
      </c>
    </row>
    <row r="12" customFormat="false" ht="15" hidden="false" customHeight="false" outlineLevel="0" collapsed="false">
      <c r="A12" s="31" t="n">
        <v>46272</v>
      </c>
      <c r="B12" s="25" t="n">
        <v>7</v>
      </c>
      <c r="C12" s="25" t="n">
        <v>2</v>
      </c>
    </row>
    <row r="13" customFormat="false" ht="15" hidden="false" customHeight="false" outlineLevel="0" collapsed="false">
      <c r="A13" s="31" t="n">
        <v>46273</v>
      </c>
      <c r="B13" s="25" t="n">
        <v>8</v>
      </c>
      <c r="C13" s="25" t="n">
        <v>1</v>
      </c>
    </row>
    <row r="14" customFormat="false" ht="15" hidden="false" customHeight="false" outlineLevel="0" collapsed="false">
      <c r="A14" s="31" t="n">
        <v>46274</v>
      </c>
      <c r="B14" s="25" t="n">
        <v>9</v>
      </c>
      <c r="C14" s="25" t="n">
        <v>1</v>
      </c>
    </row>
    <row r="15" customFormat="false" ht="15" hidden="false" customHeight="false" outlineLevel="0" collapsed="false">
      <c r="A15" s="31" t="n">
        <v>46275</v>
      </c>
      <c r="B15" s="25" t="n">
        <v>9</v>
      </c>
      <c r="C15" s="25" t="n">
        <v>1</v>
      </c>
    </row>
    <row r="16" customFormat="false" ht="15" hidden="false" customHeight="false" outlineLevel="0" collapsed="false">
      <c r="A16" s="31" t="n">
        <v>46276</v>
      </c>
      <c r="B16" s="25" t="n">
        <v>9</v>
      </c>
      <c r="C16" s="25" t="n">
        <v>1</v>
      </c>
    </row>
    <row r="17" customFormat="false" ht="15" hidden="false" customHeight="false" outlineLevel="0" collapsed="false">
      <c r="A17" s="31" t="n">
        <v>46277</v>
      </c>
      <c r="B17" s="25" t="n">
        <v>10</v>
      </c>
      <c r="C17" s="25" t="n">
        <v>0</v>
      </c>
    </row>
    <row r="24" customFormat="false" ht="15" hidden="false" customHeight="false" outlineLevel="0" collapsed="false">
      <c r="A24" s="7" t="s">
        <v>368</v>
      </c>
    </row>
    <row r="25" customFormat="false" ht="28.35" hidden="false" customHeight="false" outlineLevel="0" collapsed="false">
      <c r="A25" s="30" t="s">
        <v>322</v>
      </c>
      <c r="B25" s="30" t="s">
        <v>371</v>
      </c>
      <c r="C25" s="30" t="s">
        <v>27</v>
      </c>
    </row>
    <row r="26" customFormat="false" ht="15" hidden="false" customHeight="false" outlineLevel="0" collapsed="false">
      <c r="A26" s="31" t="n">
        <f aca="false">'Burn-down Chart'!A26</f>
        <v>46284</v>
      </c>
      <c r="B26" s="25" t="n">
        <f aca="false">'Burn-down Chart'!D26</f>
        <v>53</v>
      </c>
      <c r="C26" s="25" t="n">
        <f aca="false">IF(ISNA(B26),NA(),'Sprint Backlog'!$E$89-B26)</f>
        <v>0</v>
      </c>
    </row>
    <row r="27" customFormat="false" ht="15" hidden="false" customHeight="false" outlineLevel="0" collapsed="false">
      <c r="A27" s="31" t="n">
        <f aca="false">'Burn-down Chart'!A27</f>
        <v>46288</v>
      </c>
      <c r="B27" s="25" t="n">
        <f aca="false">'Burn-down Chart'!D27</f>
        <v>53</v>
      </c>
      <c r="C27" s="25" t="n">
        <f aca="false">IF(ISNA(B27),NA(),'Sprint Backlog'!$E$89-B27)</f>
        <v>0</v>
      </c>
    </row>
    <row r="28" customFormat="false" ht="15" hidden="false" customHeight="false" outlineLevel="0" collapsed="false">
      <c r="A28" s="31" t="n">
        <f aca="false">'Burn-down Chart'!A28</f>
        <v>46291</v>
      </c>
      <c r="B28" s="25" t="n">
        <f aca="false">'Burn-down Chart'!D28</f>
        <v>53</v>
      </c>
      <c r="C28" s="25" t="n">
        <f aca="false">IF(ISNA(B28),NA(),'Sprint Backlog'!$E$89-B28)</f>
        <v>0</v>
      </c>
    </row>
    <row r="29" customFormat="false" ht="15" hidden="false" customHeight="false" outlineLevel="0" collapsed="false">
      <c r="A29" s="31" t="n">
        <f aca="false">'Burn-down Chart'!A29</f>
        <v>46295</v>
      </c>
      <c r="B29" s="25" t="n">
        <f aca="false">'Burn-down Chart'!D29</f>
        <v>46</v>
      </c>
      <c r="C29" s="25" t="n">
        <f aca="false">IF(ISNA(B29),NA(),'Sprint Backlog'!$E$89-B29)</f>
        <v>7</v>
      </c>
    </row>
    <row r="30" customFormat="false" ht="15" hidden="false" customHeight="false" outlineLevel="0" collapsed="false">
      <c r="A30" s="31" t="n">
        <f aca="false">'Burn-down Chart'!A30</f>
        <v>46299</v>
      </c>
      <c r="B30" s="25" t="n">
        <f aca="false">'Burn-down Chart'!D30</f>
        <v>37</v>
      </c>
      <c r="C30" s="25" t="n">
        <f aca="false">IF(ISNA(B30),NA(),'Sprint Backlog'!$E$89-B30)</f>
        <v>16</v>
      </c>
    </row>
    <row r="31" customFormat="false" ht="15" hidden="false" customHeight="false" outlineLevel="0" collapsed="false">
      <c r="A31" s="31" t="n">
        <f aca="false">'Burn-down Chart'!A31</f>
        <v>46300</v>
      </c>
      <c r="B31" s="25" t="n">
        <f aca="false">'Burn-down Chart'!D31</f>
        <v>25</v>
      </c>
      <c r="C31" s="25" t="n">
        <f aca="false">IF(ISNA(B31),NA(),'Sprint Backlog'!$E$89-B31)</f>
        <v>28</v>
      </c>
    </row>
    <row r="32" customFormat="false" ht="15" hidden="false" customHeight="false" outlineLevel="0" collapsed="false">
      <c r="A32" s="31" t="n">
        <f aca="false">'Burn-down Chart'!A32</f>
        <v>46302</v>
      </c>
      <c r="B32" s="25" t="n">
        <f aca="false">'Burn-down Chart'!D32</f>
        <v>21</v>
      </c>
      <c r="C32" s="25" t="n">
        <f aca="false">IF(ISNA(B32),NA(),'Sprint Backlog'!$E$89-B32)</f>
        <v>32</v>
      </c>
    </row>
    <row r="33" customFormat="false" ht="15" hidden="false" customHeight="false" outlineLevel="0" collapsed="false">
      <c r="A33" s="31" t="n">
        <f aca="false">'Burn-down Chart'!A33</f>
        <v>46308</v>
      </c>
      <c r="B33" s="25" t="n">
        <f aca="false">'Burn-down Chart'!D33</f>
        <v>17</v>
      </c>
      <c r="C33" s="25" t="n">
        <f aca="false">IF(ISNA(B33),NA(),'Sprint Backlog'!$E$89-B33)</f>
        <v>36</v>
      </c>
    </row>
    <row r="34" customFormat="false" ht="15" hidden="false" customHeight="false" outlineLevel="0" collapsed="false">
      <c r="A34" s="31" t="n">
        <f aca="false">'Burn-down Chart'!A34</f>
        <v>46310</v>
      </c>
      <c r="B34" s="25" t="n">
        <f aca="false">'Burn-down Chart'!D34</f>
        <v>12</v>
      </c>
      <c r="C34" s="25" t="n">
        <f aca="false">IF(ISNA(B34),NA(),'Sprint Backlog'!$E$89-B34)</f>
        <v>41</v>
      </c>
    </row>
    <row r="35" customFormat="false" ht="15" hidden="false" customHeight="false" outlineLevel="0" collapsed="false">
      <c r="A35" s="31" t="n">
        <f aca="false">'Burn-down Chart'!A35</f>
        <v>46316</v>
      </c>
      <c r="B35" s="25" t="n">
        <f aca="false">'Burn-down Chart'!D35</f>
        <v>8</v>
      </c>
      <c r="C35" s="25" t="n">
        <f aca="false">IF(ISNA(B35),NA(),'Sprint Backlog'!$E$89-B35)</f>
        <v>45</v>
      </c>
    </row>
    <row r="36" customFormat="false" ht="15" hidden="false" customHeight="false" outlineLevel="0" collapsed="false">
      <c r="A36" s="31" t="n">
        <f aca="false">'Burn-down Chart'!A36</f>
        <v>46317</v>
      </c>
      <c r="B36" s="25" t="n">
        <f aca="false">'Burn-down Chart'!D36</f>
        <v>6</v>
      </c>
      <c r="C36" s="25" t="n">
        <f aca="false">IF(ISNA(B36),NA(),'Sprint Backlog'!$E$89-B36)</f>
        <v>47</v>
      </c>
    </row>
    <row r="37" customFormat="false" ht="15" hidden="false" customHeight="false" outlineLevel="0" collapsed="false">
      <c r="A37" s="31" t="n">
        <f aca="false">'Burn-down Chart'!A37</f>
        <v>46318</v>
      </c>
      <c r="B37" s="25" t="n">
        <f aca="false">'Burn-down Chart'!D37</f>
        <v>5</v>
      </c>
      <c r="C37" s="25" t="n">
        <f aca="false">IF(ISNA(B37),NA(),'Sprint Backlog'!$E$89-B37)</f>
        <v>48</v>
      </c>
    </row>
    <row r="38" customFormat="false" ht="15" hidden="false" customHeight="false" outlineLevel="0" collapsed="false">
      <c r="A38" s="31" t="n">
        <f aca="false">'Burn-down Chart'!A38</f>
        <v>46320</v>
      </c>
      <c r="B38" s="25" t="e">
        <f aca="false">'Burn-down Chart'!D38</f>
        <v>#N/A</v>
      </c>
      <c r="C38" s="25" t="e">
        <f aca="false">IF(ISNA(B38),NA(),'Sprint Backlog'!$E$89-B38)</f>
        <v>#N/A</v>
      </c>
    </row>
    <row r="39" customFormat="false" ht="15" hidden="false" customHeight="false" outlineLevel="0" collapsed="false">
      <c r="A39" s="31" t="n">
        <f aca="false">'Burn-down Chart'!A39</f>
        <v>46323</v>
      </c>
      <c r="B39" s="25" t="e">
        <f aca="false">'Burn-down Chart'!D39</f>
        <v>#N/A</v>
      </c>
      <c r="C39" s="25" t="e">
        <f aca="false">IF(ISNA(B39),NA(),'Sprint Backlog'!$E$89-B39)</f>
        <v>#N/A</v>
      </c>
    </row>
    <row r="40" customFormat="false" ht="15" hidden="false" customHeight="false" outlineLevel="0" collapsed="false">
      <c r="A40" s="31" t="n">
        <f aca="false">'Burn-down Chart'!A40</f>
        <v>46325</v>
      </c>
      <c r="B40" s="25" t="e">
        <f aca="false">'Burn-down Chart'!D40</f>
        <v>#N/A</v>
      </c>
      <c r="C40" s="25" t="e">
        <f aca="false">IF(ISNA(B40),NA(),'Sprint Backlog'!$E$89-B40)</f>
        <v>#N/A</v>
      </c>
    </row>
    <row r="44" customFormat="false" ht="15" hidden="false" customHeight="false" outlineLevel="0" collapsed="false">
      <c r="A44" s="7" t="s">
        <v>372</v>
      </c>
    </row>
    <row r="45" customFormat="false" ht="28.35" hidden="false" customHeight="false" outlineLevel="0" collapsed="false">
      <c r="A45" s="30" t="s">
        <v>322</v>
      </c>
      <c r="B45" s="30" t="s">
        <v>371</v>
      </c>
      <c r="C45" s="30" t="s">
        <v>27</v>
      </c>
    </row>
    <row r="46" customFormat="false" ht="15" hidden="false" customHeight="false" outlineLevel="0" collapsed="false">
      <c r="A46" s="31" t="n">
        <f aca="false">'Burn-down Chart'!A46</f>
        <v>46326</v>
      </c>
      <c r="B46" s="25" t="e">
        <f aca="false">'Burn-down Chart'!D46</f>
        <v>#N/A</v>
      </c>
      <c r="C46" s="25" t="e">
        <f aca="false">IF(ISNA(B46),NA(),'Sprint Backlog'!$E$90-B46)</f>
        <v>#N/A</v>
      </c>
    </row>
    <row r="47" customFormat="false" ht="15" hidden="false" customHeight="false" outlineLevel="0" collapsed="false">
      <c r="A47" s="31" t="n">
        <f aca="false">'Burn-down Chart'!A47</f>
        <v>46329</v>
      </c>
      <c r="B47" s="25" t="e">
        <f aca="false">'Burn-down Chart'!D47</f>
        <v>#N/A</v>
      </c>
      <c r="C47" s="25" t="e">
        <f aca="false">IF(ISNA(B47),NA(),'Sprint Backlog'!$E$90-B47)</f>
        <v>#N/A</v>
      </c>
    </row>
    <row r="48" customFormat="false" ht="15" hidden="false" customHeight="false" outlineLevel="0" collapsed="false">
      <c r="A48" s="31" t="n">
        <f aca="false">'Burn-down Chart'!A48</f>
        <v>46331</v>
      </c>
      <c r="B48" s="25" t="e">
        <f aca="false">'Burn-down Chart'!D48</f>
        <v>#N/A</v>
      </c>
      <c r="C48" s="25" t="e">
        <f aca="false">IF(ISNA(B48),NA(),'Sprint Backlog'!$E$90-B48)</f>
        <v>#N/A</v>
      </c>
    </row>
    <row r="49" customFormat="false" ht="15" hidden="false" customHeight="false" outlineLevel="0" collapsed="false">
      <c r="A49" s="31" t="n">
        <f aca="false">'Burn-down Chart'!A49</f>
        <v>46333</v>
      </c>
      <c r="B49" s="25" t="e">
        <f aca="false">'Burn-down Chart'!D49</f>
        <v>#N/A</v>
      </c>
      <c r="C49" s="25" t="e">
        <f aca="false">IF(ISNA(B49),NA(),'Sprint Backlog'!$E$90-B49)</f>
        <v>#N/A</v>
      </c>
    </row>
    <row r="50" customFormat="false" ht="15" hidden="false" customHeight="false" outlineLevel="0" collapsed="false">
      <c r="A50" s="31" t="n">
        <f aca="false">'Burn-down Chart'!A50</f>
        <v>46336</v>
      </c>
      <c r="B50" s="25" t="e">
        <f aca="false">'Burn-down Chart'!D50</f>
        <v>#N/A</v>
      </c>
      <c r="C50" s="25" t="e">
        <f aca="false">IF(ISNA(B50),NA(),'Sprint Backlog'!$E$90-B50)</f>
        <v>#N/A</v>
      </c>
    </row>
    <row r="51" customFormat="false" ht="15" hidden="false" customHeight="false" outlineLevel="0" collapsed="false">
      <c r="A51" s="31" t="n">
        <f aca="false">'Burn-down Chart'!A51</f>
        <v>46338</v>
      </c>
      <c r="B51" s="25" t="e">
        <f aca="false">'Burn-down Chart'!D51</f>
        <v>#N/A</v>
      </c>
      <c r="C51" s="25" t="e">
        <f aca="false">IF(ISNA(B51),NA(),'Sprint Backlog'!$E$90-B51)</f>
        <v>#N/A</v>
      </c>
    </row>
    <row r="52" customFormat="false" ht="15" hidden="false" customHeight="false" outlineLevel="0" collapsed="false">
      <c r="A52" s="31" t="n">
        <f aca="false">'Burn-down Chart'!A52</f>
        <v>46340</v>
      </c>
      <c r="B52" s="25" t="e">
        <f aca="false">'Burn-down Chart'!D52</f>
        <v>#N/A</v>
      </c>
      <c r="C52" s="25" t="e">
        <f aca="false">IF(ISNA(B52),NA(),'Sprint Backlog'!$E$90-B52)</f>
        <v>#N/A</v>
      </c>
    </row>
    <row r="53" customFormat="false" ht="15" hidden="false" customHeight="false" outlineLevel="0" collapsed="false">
      <c r="A53" s="31" t="n">
        <f aca="false">'Burn-down Chart'!A53</f>
        <v>46343</v>
      </c>
      <c r="B53" s="25" t="e">
        <f aca="false">'Burn-down Chart'!D53</f>
        <v>#N/A</v>
      </c>
      <c r="C53" s="25" t="e">
        <f aca="false">IF(ISNA(B53),NA(),'Sprint Backlog'!$E$90-B53)</f>
        <v>#N/A</v>
      </c>
    </row>
    <row r="54" customFormat="false" ht="15" hidden="false" customHeight="false" outlineLevel="0" collapsed="false">
      <c r="A54" s="31" t="n">
        <f aca="false">'Burn-down Chart'!A54</f>
        <v>46345</v>
      </c>
      <c r="B54" s="25" t="e">
        <f aca="false">'Burn-down Chart'!D54</f>
        <v>#N/A</v>
      </c>
      <c r="C54" s="25" t="e">
        <f aca="false">IF(ISNA(B54),NA(),'Sprint Backlog'!$E$90-B54)</f>
        <v>#N/A</v>
      </c>
    </row>
    <row r="55" customFormat="false" ht="15" hidden="false" customHeight="false" outlineLevel="0" collapsed="false">
      <c r="A55" s="31" t="n">
        <f aca="false">'Burn-down Chart'!A55</f>
        <v>46346</v>
      </c>
      <c r="B55" s="25" t="e">
        <f aca="false">'Burn-down Chart'!D55</f>
        <v>#N/A</v>
      </c>
      <c r="C55" s="25" t="e">
        <f aca="false">IF(ISNA(B55),NA(),'Sprint Backlog'!$E$90-B55)</f>
        <v>#N/A</v>
      </c>
    </row>
    <row r="64" customFormat="false" ht="15" hidden="false" customHeight="false" outlineLevel="0" collapsed="false">
      <c r="A64" s="7" t="s">
        <v>373</v>
      </c>
    </row>
    <row r="65" customFormat="false" ht="28.35" hidden="false" customHeight="false" outlineLevel="0" collapsed="false">
      <c r="A65" s="30" t="s">
        <v>322</v>
      </c>
      <c r="B65" s="30" t="s">
        <v>371</v>
      </c>
      <c r="C65" s="30" t="s">
        <v>27</v>
      </c>
    </row>
    <row r="66" customFormat="false" ht="15" hidden="false" customHeight="false" outlineLevel="0" collapsed="false">
      <c r="A66" s="31" t="n">
        <f aca="false">'Burn-down Chart'!A66</f>
        <v>46347</v>
      </c>
      <c r="B66" s="25" t="e">
        <f aca="false">'Burn-down Chart'!D66</f>
        <v>#N/A</v>
      </c>
      <c r="C66" s="25" t="e">
        <f aca="false">IF(ISNA(B66),NA(),'Sprint Backlog'!$E$91-B66)</f>
        <v>#N/A</v>
      </c>
    </row>
    <row r="67" customFormat="false" ht="15" hidden="false" customHeight="false" outlineLevel="0" collapsed="false">
      <c r="A67" s="31" t="n">
        <f aca="false">'Burn-down Chart'!A67</f>
        <v>46349</v>
      </c>
      <c r="B67" s="25" t="e">
        <f aca="false">'Burn-down Chart'!D67</f>
        <v>#N/A</v>
      </c>
      <c r="C67" s="25" t="e">
        <f aca="false">IF(ISNA(B67),NA(),'Sprint Backlog'!$E$91-B67)</f>
        <v>#N/A</v>
      </c>
    </row>
    <row r="68" customFormat="false" ht="15" hidden="false" customHeight="false" outlineLevel="0" collapsed="false">
      <c r="A68" s="31" t="n">
        <f aca="false">'Burn-down Chart'!A68</f>
        <v>46351</v>
      </c>
      <c r="B68" s="25" t="e">
        <f aca="false">'Burn-down Chart'!D68</f>
        <v>#N/A</v>
      </c>
      <c r="C68" s="25" t="e">
        <f aca="false">IF(ISNA(B68),NA(),'Sprint Backlog'!$E$91-B68)</f>
        <v>#N/A</v>
      </c>
    </row>
    <row r="69" customFormat="false" ht="15" hidden="false" customHeight="false" outlineLevel="0" collapsed="false">
      <c r="A69" s="31" t="n">
        <f aca="false">'Burn-down Chart'!A69</f>
        <v>46353</v>
      </c>
      <c r="B69" s="25" t="e">
        <f aca="false">'Burn-down Chart'!D69</f>
        <v>#N/A</v>
      </c>
      <c r="C69" s="25" t="e">
        <f aca="false">IF(ISNA(B69),NA(),'Sprint Backlog'!$E$91-B69)</f>
        <v>#N/A</v>
      </c>
    </row>
    <row r="70" customFormat="false" ht="15" hidden="false" customHeight="false" outlineLevel="0" collapsed="false">
      <c r="A70" s="31" t="n">
        <f aca="false">'Burn-down Chart'!A70</f>
        <v>46355</v>
      </c>
      <c r="B70" s="25" t="e">
        <f aca="false">'Burn-down Chart'!D70</f>
        <v>#N/A</v>
      </c>
      <c r="C70" s="25" t="e">
        <f aca="false">IF(ISNA(B70),NA(),'Sprint Backlog'!$E$91-B70)</f>
        <v>#N/A</v>
      </c>
    </row>
    <row r="71" customFormat="false" ht="15" hidden="false" customHeight="false" outlineLevel="0" collapsed="false">
      <c r="A71" s="31" t="n">
        <f aca="false">'Burn-down Chart'!A71</f>
        <v>46356</v>
      </c>
      <c r="B71" s="25" t="e">
        <f aca="false">'Burn-down Chart'!D71</f>
        <v>#N/A</v>
      </c>
      <c r="C71" s="25" t="e">
        <f aca="false">IF(ISNA(B71),NA(),'Sprint Backlog'!$E$91-B71)</f>
        <v>#N/A</v>
      </c>
    </row>
  </sheetData>
  <conditionalFormatting sqref="B26:C40">
    <cfRule type="expression" priority="2" aboveAverage="0" equalAverage="0" bottom="0" percent="0" rank="0" text="" dxfId="10">
      <formula>ISNA(B26)</formula>
    </cfRule>
  </conditionalFormatting>
  <conditionalFormatting sqref="B46:C55">
    <cfRule type="expression" priority="3" aboveAverage="0" equalAverage="0" bottom="0" percent="0" rank="0" text="" dxfId="10">
      <formula>ISNA(B46)</formula>
    </cfRule>
  </conditionalFormatting>
  <conditionalFormatting sqref="B66:C71">
    <cfRule type="expression" priority="4" aboveAverage="0" equalAverage="0" bottom="0" percent="0" rank="0" text="" dxfId="10">
      <formula>ISNA(B66)</formula>
    </cfRule>
  </conditionalFormatting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6" t="s">
        <v>377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false" outlineLevel="0" collapsed="false">
      <c r="A2" s="17" t="s">
        <v>378</v>
      </c>
      <c r="B2" s="17"/>
      <c r="C2" s="17"/>
      <c r="D2" s="17"/>
      <c r="E2" s="17"/>
      <c r="F2" s="17"/>
      <c r="G2" s="17"/>
      <c r="H2" s="17"/>
      <c r="I2" s="17"/>
    </row>
    <row r="3" customFormat="false" ht="30" hidden="false" customHeight="true" outlineLevel="0" collapsed="false">
      <c r="A3" s="18" t="s">
        <v>22</v>
      </c>
      <c r="B3" s="18" t="s">
        <v>379</v>
      </c>
      <c r="C3" s="18" t="s">
        <v>380</v>
      </c>
      <c r="D3" s="18" t="s">
        <v>381</v>
      </c>
      <c r="E3" s="18" t="s">
        <v>382</v>
      </c>
      <c r="F3" s="18" t="s">
        <v>25</v>
      </c>
      <c r="G3" s="18" t="s">
        <v>65</v>
      </c>
      <c r="H3" s="18" t="s">
        <v>383</v>
      </c>
      <c r="I3" s="18" t="s">
        <v>384</v>
      </c>
    </row>
    <row r="4" customFormat="false" ht="28.35" hidden="false" customHeight="false" outlineLevel="0" collapsed="false">
      <c r="A4" s="19" t="n">
        <v>1</v>
      </c>
      <c r="B4" s="19" t="s">
        <v>385</v>
      </c>
      <c r="C4" s="20" t="s">
        <v>386</v>
      </c>
      <c r="D4" s="20" t="s">
        <v>387</v>
      </c>
      <c r="E4" s="20" t="s">
        <v>3</v>
      </c>
      <c r="F4" s="19" t="s">
        <v>388</v>
      </c>
      <c r="G4" s="19" t="n">
        <v>29</v>
      </c>
      <c r="H4" s="21" t="n">
        <v>46275</v>
      </c>
      <c r="I4" s="19" t="s">
        <v>389</v>
      </c>
    </row>
    <row r="5" customFormat="false" ht="28.35" hidden="false" customHeight="false" outlineLevel="0" collapsed="false">
      <c r="A5" s="19" t="n">
        <v>1</v>
      </c>
      <c r="B5" s="19" t="s">
        <v>390</v>
      </c>
      <c r="C5" s="20" t="s">
        <v>391</v>
      </c>
      <c r="D5" s="20" t="s">
        <v>392</v>
      </c>
      <c r="E5" s="20" t="s">
        <v>3</v>
      </c>
      <c r="F5" s="19" t="s">
        <v>393</v>
      </c>
      <c r="G5" s="19" t="n">
        <v>29</v>
      </c>
      <c r="H5" s="21" t="n">
        <v>46277</v>
      </c>
      <c r="I5" s="19" t="s">
        <v>394</v>
      </c>
    </row>
    <row r="6" customFormat="false" ht="28.35" hidden="false" customHeight="false" outlineLevel="0" collapsed="false">
      <c r="A6" s="19" t="n">
        <v>1</v>
      </c>
      <c r="B6" s="19" t="s">
        <v>395</v>
      </c>
      <c r="C6" s="20" t="s">
        <v>396</v>
      </c>
      <c r="D6" s="20" t="s">
        <v>397</v>
      </c>
      <c r="E6" s="20" t="s">
        <v>3</v>
      </c>
      <c r="F6" s="19" t="s">
        <v>393</v>
      </c>
      <c r="G6" s="19" t="n">
        <v>29</v>
      </c>
      <c r="H6" s="21" t="n">
        <v>46279</v>
      </c>
      <c r="I6" s="19" t="s">
        <v>394</v>
      </c>
    </row>
    <row r="7" customFormat="false" ht="28.35" hidden="false" customHeight="false" outlineLevel="0" collapsed="false">
      <c r="A7" s="19" t="n">
        <v>2</v>
      </c>
      <c r="B7" s="19" t="s">
        <v>398</v>
      </c>
      <c r="C7" s="20" t="s">
        <v>399</v>
      </c>
      <c r="D7" s="20" t="s">
        <v>400</v>
      </c>
      <c r="E7" s="20" t="s">
        <v>3</v>
      </c>
      <c r="F7" s="19" t="s">
        <v>393</v>
      </c>
      <c r="G7" s="19" t="n">
        <v>15</v>
      </c>
      <c r="H7" s="21" t="n">
        <v>46299</v>
      </c>
      <c r="I7" s="19" t="s">
        <v>389</v>
      </c>
    </row>
    <row r="8" customFormat="false" ht="28.35" hidden="false" customHeight="false" outlineLevel="0" collapsed="false">
      <c r="A8" s="19" t="n">
        <v>2</v>
      </c>
      <c r="B8" s="19" t="s">
        <v>401</v>
      </c>
      <c r="C8" s="20" t="s">
        <v>402</v>
      </c>
      <c r="D8" s="20" t="s">
        <v>403</v>
      </c>
      <c r="E8" s="20" t="s">
        <v>3</v>
      </c>
      <c r="F8" s="19" t="s">
        <v>393</v>
      </c>
      <c r="G8" s="19" t="n">
        <v>14</v>
      </c>
      <c r="H8" s="21" t="n">
        <v>46300</v>
      </c>
      <c r="I8" s="19" t="s">
        <v>394</v>
      </c>
    </row>
    <row r="9" customFormat="false" ht="28.35" hidden="false" customHeight="false" outlineLevel="0" collapsed="false">
      <c r="A9" s="19" t="n">
        <v>2</v>
      </c>
      <c r="B9" s="19" t="s">
        <v>404</v>
      </c>
      <c r="C9" s="20" t="s">
        <v>405</v>
      </c>
      <c r="D9" s="20" t="s">
        <v>406</v>
      </c>
      <c r="E9" s="20" t="s">
        <v>3</v>
      </c>
      <c r="F9" s="19" t="s">
        <v>393</v>
      </c>
      <c r="G9" s="19" t="n">
        <v>19</v>
      </c>
      <c r="H9" s="21" t="n">
        <v>46300</v>
      </c>
      <c r="I9" s="19" t="s">
        <v>407</v>
      </c>
    </row>
    <row r="10" customFormat="false" ht="28.35" hidden="false" customHeight="false" outlineLevel="0" collapsed="false">
      <c r="A10" s="19" t="n">
        <v>2</v>
      </c>
      <c r="B10" s="19" t="s">
        <v>408</v>
      </c>
      <c r="C10" s="20" t="s">
        <v>409</v>
      </c>
      <c r="D10" s="20" t="s">
        <v>410</v>
      </c>
      <c r="E10" s="20" t="s">
        <v>3</v>
      </c>
      <c r="F10" s="19" t="s">
        <v>393</v>
      </c>
      <c r="G10" s="19" t="n">
        <v>15</v>
      </c>
      <c r="H10" s="21" t="n">
        <v>46300</v>
      </c>
      <c r="I10" s="19" t="s">
        <v>389</v>
      </c>
    </row>
    <row r="11" customFormat="false" ht="28.35" hidden="false" customHeight="false" outlineLevel="0" collapsed="false">
      <c r="A11" s="19" t="n">
        <v>2</v>
      </c>
      <c r="B11" s="19" t="s">
        <v>411</v>
      </c>
      <c r="C11" s="20" t="s">
        <v>412</v>
      </c>
      <c r="D11" s="20" t="s">
        <v>413</v>
      </c>
      <c r="E11" s="20" t="s">
        <v>3</v>
      </c>
      <c r="F11" s="19" t="s">
        <v>393</v>
      </c>
      <c r="G11" s="19" t="n">
        <v>17</v>
      </c>
      <c r="H11" s="21" t="n">
        <v>46300</v>
      </c>
      <c r="I11" s="19" t="s">
        <v>394</v>
      </c>
    </row>
    <row r="12" customFormat="false" ht="28.35" hidden="false" customHeight="false" outlineLevel="0" collapsed="false">
      <c r="A12" s="19" t="n">
        <v>2</v>
      </c>
      <c r="B12" s="19" t="s">
        <v>414</v>
      </c>
      <c r="C12" s="20" t="s">
        <v>415</v>
      </c>
      <c r="D12" s="20" t="s">
        <v>416</v>
      </c>
      <c r="E12" s="20" t="s">
        <v>3</v>
      </c>
      <c r="F12" s="19" t="s">
        <v>393</v>
      </c>
      <c r="G12" s="19" t="n">
        <v>11</v>
      </c>
      <c r="H12" s="21" t="n">
        <v>46300</v>
      </c>
      <c r="I12" s="19" t="s">
        <v>407</v>
      </c>
    </row>
    <row r="13" customFormat="false" ht="28.35" hidden="false" customHeight="false" outlineLevel="0" collapsed="false">
      <c r="A13" s="19" t="n">
        <v>2</v>
      </c>
      <c r="B13" s="19" t="s">
        <v>417</v>
      </c>
      <c r="C13" s="20" t="s">
        <v>418</v>
      </c>
      <c r="D13" s="20" t="s">
        <v>419</v>
      </c>
      <c r="E13" s="20" t="s">
        <v>3</v>
      </c>
      <c r="F13" s="19" t="s">
        <v>393</v>
      </c>
      <c r="G13" s="19" t="n">
        <v>18</v>
      </c>
      <c r="H13" s="21" t="n">
        <v>46300</v>
      </c>
      <c r="I13" s="19" t="s">
        <v>389</v>
      </c>
    </row>
    <row r="14" customFormat="false" ht="28.35" hidden="false" customHeight="false" outlineLevel="0" collapsed="false">
      <c r="A14" s="19" t="n">
        <v>2</v>
      </c>
      <c r="B14" s="19" t="s">
        <v>420</v>
      </c>
      <c r="C14" s="20" t="s">
        <v>421</v>
      </c>
      <c r="D14" s="20" t="s">
        <v>422</v>
      </c>
      <c r="E14" s="20" t="s">
        <v>3</v>
      </c>
      <c r="F14" s="19" t="s">
        <v>393</v>
      </c>
      <c r="G14" s="19" t="n">
        <v>13</v>
      </c>
      <c r="H14" s="21" t="n">
        <v>46300</v>
      </c>
      <c r="I14" s="19" t="s">
        <v>394</v>
      </c>
    </row>
    <row r="15" customFormat="false" ht="28.35" hidden="false" customHeight="false" outlineLevel="0" collapsed="false">
      <c r="A15" s="19" t="n">
        <v>2</v>
      </c>
      <c r="B15" s="19" t="s">
        <v>423</v>
      </c>
      <c r="C15" s="20" t="s">
        <v>424</v>
      </c>
      <c r="D15" s="20" t="s">
        <v>425</v>
      </c>
      <c r="E15" s="20" t="s">
        <v>3</v>
      </c>
      <c r="F15" s="19" t="s">
        <v>393</v>
      </c>
      <c r="G15" s="19" t="n">
        <v>19</v>
      </c>
      <c r="H15" s="21" t="n">
        <v>46300</v>
      </c>
      <c r="I15" s="19" t="s">
        <v>394</v>
      </c>
    </row>
    <row r="16" customFormat="false" ht="15" hidden="false" customHeight="false" outlineLevel="0" collapsed="false">
      <c r="A16" s="19" t="n">
        <v>2</v>
      </c>
      <c r="B16" s="19" t="s">
        <v>426</v>
      </c>
      <c r="C16" s="20" t="s">
        <v>427</v>
      </c>
      <c r="D16" s="20" t="s">
        <v>428</v>
      </c>
      <c r="E16" s="20" t="s">
        <v>3</v>
      </c>
      <c r="F16" s="19" t="s">
        <v>393</v>
      </c>
      <c r="G16" s="19" t="n">
        <v>22</v>
      </c>
      <c r="H16" s="21" t="n">
        <v>46300</v>
      </c>
      <c r="I16" s="19" t="s">
        <v>389</v>
      </c>
    </row>
    <row r="17" customFormat="false" ht="41.75" hidden="false" customHeight="false" outlineLevel="0" collapsed="false">
      <c r="A17" s="19" t="n">
        <v>2</v>
      </c>
      <c r="B17" s="19" t="s">
        <v>429</v>
      </c>
      <c r="C17" s="20" t="s">
        <v>430</v>
      </c>
      <c r="D17" s="20" t="s">
        <v>431</v>
      </c>
      <c r="E17" s="20" t="s">
        <v>3</v>
      </c>
      <c r="F17" s="19" t="s">
        <v>393</v>
      </c>
      <c r="G17" s="19" t="n">
        <v>17</v>
      </c>
      <c r="H17" s="21" t="n">
        <v>46300</v>
      </c>
      <c r="I17" s="19" t="s">
        <v>407</v>
      </c>
    </row>
    <row r="18" customFormat="false" ht="28.35" hidden="false" customHeight="false" outlineLevel="0" collapsed="false">
      <c r="A18" s="19" t="n">
        <v>2</v>
      </c>
      <c r="B18" s="19" t="s">
        <v>432</v>
      </c>
      <c r="C18" s="20" t="s">
        <v>433</v>
      </c>
      <c r="D18" s="20" t="s">
        <v>434</v>
      </c>
      <c r="E18" s="20" t="s">
        <v>3</v>
      </c>
      <c r="F18" s="19" t="s">
        <v>393</v>
      </c>
      <c r="G18" s="19" t="n">
        <v>11</v>
      </c>
      <c r="H18" s="21" t="n">
        <v>46302</v>
      </c>
      <c r="I18" s="19" t="s">
        <v>407</v>
      </c>
    </row>
    <row r="19" customFormat="false" ht="28.35" hidden="false" customHeight="false" outlineLevel="0" collapsed="false">
      <c r="A19" s="19" t="n">
        <v>2</v>
      </c>
      <c r="B19" s="19" t="s">
        <v>435</v>
      </c>
      <c r="C19" s="20" t="s">
        <v>436</v>
      </c>
      <c r="D19" s="20" t="s">
        <v>437</v>
      </c>
      <c r="E19" s="20" t="s">
        <v>3</v>
      </c>
      <c r="F19" s="19" t="s">
        <v>393</v>
      </c>
      <c r="G19" s="19" t="n">
        <v>20</v>
      </c>
      <c r="H19" s="21" t="n">
        <v>46302</v>
      </c>
      <c r="I19" s="19" t="s">
        <v>394</v>
      </c>
    </row>
    <row r="20" customFormat="false" ht="41.75" hidden="false" customHeight="false" outlineLevel="0" collapsed="false">
      <c r="A20" s="19" t="n">
        <v>2</v>
      </c>
      <c r="B20" s="19" t="s">
        <v>438</v>
      </c>
      <c r="C20" s="20" t="s">
        <v>439</v>
      </c>
      <c r="D20" s="20" t="s">
        <v>440</v>
      </c>
      <c r="E20" s="20" t="s">
        <v>3</v>
      </c>
      <c r="F20" s="19" t="s">
        <v>388</v>
      </c>
      <c r="G20" s="19" t="n">
        <v>21</v>
      </c>
      <c r="H20" s="21" t="n">
        <v>46302</v>
      </c>
      <c r="I20" s="19" t="s">
        <v>389</v>
      </c>
    </row>
    <row r="21" customFormat="false" ht="55.2" hidden="false" customHeight="false" outlineLevel="0" collapsed="false">
      <c r="A21" s="19" t="n">
        <v>2</v>
      </c>
      <c r="B21" s="19" t="s">
        <v>441</v>
      </c>
      <c r="C21" s="20" t="s">
        <v>442</v>
      </c>
      <c r="D21" s="20" t="s">
        <v>443</v>
      </c>
      <c r="E21" s="20" t="s">
        <v>3</v>
      </c>
      <c r="F21" s="19" t="s">
        <v>393</v>
      </c>
      <c r="G21" s="19" t="n">
        <v>1</v>
      </c>
      <c r="H21" s="21" t="n">
        <v>46308</v>
      </c>
      <c r="I21" s="19" t="s">
        <v>389</v>
      </c>
    </row>
    <row r="22" customFormat="false" ht="55.2" hidden="false" customHeight="false" outlineLevel="0" collapsed="false">
      <c r="A22" s="19" t="n">
        <v>2</v>
      </c>
      <c r="B22" s="19" t="s">
        <v>444</v>
      </c>
      <c r="C22" s="20" t="s">
        <v>445</v>
      </c>
      <c r="D22" s="20" t="s">
        <v>446</v>
      </c>
      <c r="E22" s="20" t="s">
        <v>3</v>
      </c>
      <c r="F22" s="19" t="s">
        <v>393</v>
      </c>
      <c r="G22" s="19" t="n">
        <v>10</v>
      </c>
      <c r="H22" s="21" t="n">
        <v>46310</v>
      </c>
      <c r="I22" s="19" t="s">
        <v>407</v>
      </c>
    </row>
    <row r="23" customFormat="false" ht="41.75" hidden="false" customHeight="false" outlineLevel="0" collapsed="false">
      <c r="A23" s="19" t="n">
        <v>2</v>
      </c>
      <c r="B23" s="19" t="s">
        <v>447</v>
      </c>
      <c r="C23" s="20" t="s">
        <v>448</v>
      </c>
      <c r="D23" s="20" t="s">
        <v>449</v>
      </c>
      <c r="E23" s="20" t="s">
        <v>3</v>
      </c>
      <c r="F23" s="19" t="s">
        <v>393</v>
      </c>
      <c r="G23" s="19" t="n">
        <v>1</v>
      </c>
      <c r="H23" s="21" t="n">
        <v>46310</v>
      </c>
      <c r="I23" s="19" t="s">
        <v>389</v>
      </c>
    </row>
    <row r="24" customFormat="false" ht="28.35" hidden="false" customHeight="false" outlineLevel="0" collapsed="false">
      <c r="A24" s="19" t="n">
        <v>2</v>
      </c>
      <c r="B24" s="19" t="s">
        <v>450</v>
      </c>
      <c r="C24" s="20" t="s">
        <v>451</v>
      </c>
      <c r="D24" s="20" t="s">
        <v>452</v>
      </c>
      <c r="E24" s="20" t="s">
        <v>3</v>
      </c>
      <c r="F24" s="19" t="s">
        <v>393</v>
      </c>
      <c r="G24" s="19" t="n">
        <v>23</v>
      </c>
      <c r="H24" s="21" t="n">
        <v>46310</v>
      </c>
      <c r="I24" s="19" t="s">
        <v>389</v>
      </c>
    </row>
    <row r="25" customFormat="false" ht="15" hidden="false" customHeight="false" outlineLevel="0" collapsed="false">
      <c r="A25" s="19" t="n">
        <v>3</v>
      </c>
      <c r="B25" s="19" t="s">
        <v>453</v>
      </c>
      <c r="C25" s="20"/>
      <c r="D25" s="20"/>
      <c r="E25" s="20"/>
      <c r="F25" s="19"/>
      <c r="G25" s="19"/>
      <c r="H25" s="21"/>
      <c r="I25" s="19"/>
    </row>
    <row r="26" customFormat="false" ht="15" hidden="false" customHeight="false" outlineLevel="0" collapsed="false">
      <c r="A26" s="19" t="n">
        <v>3</v>
      </c>
      <c r="B26" s="19" t="s">
        <v>454</v>
      </c>
      <c r="C26" s="20"/>
      <c r="D26" s="20"/>
      <c r="E26" s="20"/>
      <c r="F26" s="19"/>
      <c r="G26" s="19"/>
      <c r="H26" s="21"/>
      <c r="I26" s="19"/>
    </row>
    <row r="27" customFormat="false" ht="15" hidden="false" customHeight="false" outlineLevel="0" collapsed="false">
      <c r="A27" s="19" t="n">
        <v>3</v>
      </c>
      <c r="B27" s="19" t="s">
        <v>455</v>
      </c>
      <c r="C27" s="20"/>
      <c r="D27" s="20"/>
      <c r="E27" s="20"/>
      <c r="F27" s="19"/>
      <c r="G27" s="19"/>
      <c r="H27" s="21"/>
      <c r="I27" s="19"/>
    </row>
    <row r="28" customFormat="false" ht="15" hidden="false" customHeight="false" outlineLevel="0" collapsed="false">
      <c r="A28" s="19" t="n">
        <v>3</v>
      </c>
      <c r="B28" s="19" t="s">
        <v>456</v>
      </c>
      <c r="C28" s="20"/>
      <c r="D28" s="20"/>
      <c r="E28" s="20"/>
      <c r="F28" s="19"/>
      <c r="G28" s="19"/>
      <c r="H28" s="21"/>
      <c r="I28" s="19"/>
    </row>
    <row r="29" customFormat="false" ht="15" hidden="false" customHeight="false" outlineLevel="0" collapsed="false">
      <c r="A29" s="19" t="n">
        <v>3</v>
      </c>
      <c r="B29" s="19" t="s">
        <v>457</v>
      </c>
      <c r="C29" s="20"/>
      <c r="D29" s="20"/>
      <c r="E29" s="20"/>
      <c r="F29" s="19"/>
      <c r="G29" s="19"/>
      <c r="H29" s="21"/>
      <c r="I29" s="19"/>
    </row>
    <row r="30" customFormat="false" ht="15" hidden="false" customHeight="false" outlineLevel="0" collapsed="false">
      <c r="A30" s="19" t="n">
        <v>3</v>
      </c>
      <c r="B30" s="19" t="s">
        <v>458</v>
      </c>
      <c r="C30" s="20"/>
      <c r="D30" s="20"/>
      <c r="E30" s="20"/>
      <c r="F30" s="19"/>
      <c r="G30" s="19"/>
      <c r="H30" s="21"/>
      <c r="I30" s="19"/>
    </row>
    <row r="31" customFormat="false" ht="15" hidden="false" customHeight="false" outlineLevel="0" collapsed="false">
      <c r="A31" s="19" t="n">
        <v>3</v>
      </c>
      <c r="B31" s="19" t="s">
        <v>459</v>
      </c>
      <c r="C31" s="20"/>
      <c r="D31" s="20"/>
      <c r="E31" s="20"/>
      <c r="F31" s="19"/>
      <c r="G31" s="19"/>
      <c r="H31" s="21"/>
      <c r="I31" s="19"/>
    </row>
    <row r="32" customFormat="false" ht="15" hidden="false" customHeight="false" outlineLevel="0" collapsed="false">
      <c r="A32" s="19" t="n">
        <v>3</v>
      </c>
      <c r="B32" s="19" t="s">
        <v>460</v>
      </c>
      <c r="C32" s="20"/>
      <c r="D32" s="20"/>
      <c r="E32" s="20"/>
      <c r="F32" s="19"/>
      <c r="G32" s="19"/>
      <c r="H32" s="21"/>
      <c r="I32" s="19"/>
    </row>
    <row r="33" customFormat="false" ht="15" hidden="false" customHeight="false" outlineLevel="0" collapsed="false">
      <c r="A33" s="19" t="n">
        <v>3</v>
      </c>
      <c r="B33" s="19" t="s">
        <v>461</v>
      </c>
      <c r="C33" s="20"/>
      <c r="D33" s="20"/>
      <c r="E33" s="20"/>
      <c r="F33" s="19"/>
      <c r="G33" s="19"/>
      <c r="H33" s="21"/>
      <c r="I33" s="19"/>
    </row>
    <row r="34" customFormat="false" ht="15" hidden="false" customHeight="false" outlineLevel="0" collapsed="false">
      <c r="A34" s="19" t="n">
        <v>3</v>
      </c>
      <c r="B34" s="19" t="s">
        <v>462</v>
      </c>
      <c r="C34" s="20"/>
      <c r="D34" s="20"/>
      <c r="E34" s="20"/>
      <c r="F34" s="19"/>
      <c r="G34" s="19"/>
      <c r="H34" s="21"/>
      <c r="I34" s="19"/>
    </row>
    <row r="35" customFormat="false" ht="15" hidden="false" customHeight="false" outlineLevel="0" collapsed="false">
      <c r="A35" s="19" t="n">
        <v>3</v>
      </c>
      <c r="B35" s="19" t="s">
        <v>463</v>
      </c>
      <c r="C35" s="20"/>
      <c r="D35" s="20"/>
      <c r="E35" s="20"/>
      <c r="F35" s="19"/>
      <c r="G35" s="19"/>
      <c r="H35" s="21"/>
      <c r="I35" s="19"/>
    </row>
    <row r="36" customFormat="false" ht="15" hidden="false" customHeight="false" outlineLevel="0" collapsed="false">
      <c r="A36" s="19" t="n">
        <v>3</v>
      </c>
      <c r="B36" s="19" t="s">
        <v>464</v>
      </c>
      <c r="C36" s="20"/>
      <c r="D36" s="20"/>
      <c r="E36" s="20"/>
      <c r="F36" s="19"/>
      <c r="G36" s="19"/>
      <c r="H36" s="21"/>
      <c r="I36" s="19"/>
    </row>
    <row r="37" customFormat="false" ht="15" hidden="false" customHeight="false" outlineLevel="0" collapsed="false">
      <c r="A37" s="19" t="n">
        <v>3</v>
      </c>
      <c r="B37" s="19" t="s">
        <v>465</v>
      </c>
      <c r="C37" s="20"/>
      <c r="D37" s="20"/>
      <c r="E37" s="20"/>
      <c r="F37" s="19"/>
      <c r="G37" s="19"/>
      <c r="H37" s="21"/>
      <c r="I37" s="19"/>
    </row>
    <row r="38" customFormat="false" ht="15" hidden="false" customHeight="false" outlineLevel="0" collapsed="false">
      <c r="A38" s="19" t="n">
        <v>3</v>
      </c>
      <c r="B38" s="19" t="s">
        <v>466</v>
      </c>
      <c r="C38" s="20"/>
      <c r="D38" s="20"/>
      <c r="E38" s="20"/>
      <c r="F38" s="19"/>
      <c r="G38" s="19"/>
      <c r="H38" s="21"/>
      <c r="I38" s="19"/>
    </row>
    <row r="39" customFormat="false" ht="15" hidden="false" customHeight="false" outlineLevel="0" collapsed="false">
      <c r="A39" s="19" t="n">
        <v>3</v>
      </c>
      <c r="B39" s="19" t="s">
        <v>467</v>
      </c>
      <c r="C39" s="20"/>
      <c r="D39" s="20"/>
      <c r="E39" s="20"/>
      <c r="F39" s="19"/>
      <c r="G39" s="19"/>
      <c r="H39" s="21"/>
      <c r="I39" s="19"/>
    </row>
    <row r="41" customFormat="false" ht="15" hidden="false" customHeight="false" outlineLevel="0" collapsed="false">
      <c r="E41" s="27" t="s">
        <v>468</v>
      </c>
      <c r="F41" s="27" t="str">
        <f aca="false">COUNTIF(F4:F39,"Corregido")&amp;" de "&amp;COUNTA(C4:C39)</f>
        <v>19 de 21</v>
      </c>
    </row>
  </sheetData>
  <autoFilter ref="A3:I39"/>
  <mergeCells count="2">
    <mergeCell ref="A1:I1"/>
    <mergeCell ref="A2:I2"/>
  </mergeCells>
  <conditionalFormatting sqref="F4:F39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2">
    <dataValidation allowBlank="true" errorStyle="stop" operator="between" showDropDown="false" showErrorMessage="false" showInputMessage="false" sqref="F4:F39" type="list">
      <formula1>"Abierto,Por verificar,Corregido,No se corrige"</formula1>
      <formula2>0</formula2>
    </dataValidation>
    <dataValidation allowBlank="true" errorStyle="stop" operator="between" showDropDown="false" showErrorMessage="false" showInputMessage="false" sqref="I4:I39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6" t="s">
        <v>469</v>
      </c>
      <c r="B1" s="16"/>
      <c r="C1" s="16"/>
      <c r="D1" s="16"/>
      <c r="E1" s="16"/>
      <c r="F1" s="16"/>
      <c r="G1" s="16"/>
    </row>
    <row r="2" customFormat="false" ht="15" hidden="false" customHeight="false" outlineLevel="0" collapsed="false">
      <c r="A2" s="17" t="s">
        <v>470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471</v>
      </c>
      <c r="B3" s="18" t="s">
        <v>65</v>
      </c>
      <c r="C3" s="18" t="s">
        <v>472</v>
      </c>
      <c r="D3" s="18" t="s">
        <v>473</v>
      </c>
      <c r="E3" s="18" t="s">
        <v>474</v>
      </c>
      <c r="F3" s="18" t="s">
        <v>475</v>
      </c>
      <c r="G3" s="18" t="s">
        <v>25</v>
      </c>
    </row>
    <row r="4" customFormat="false" ht="28.35" hidden="false" customHeight="false" outlineLevel="0" collapsed="false">
      <c r="A4" s="19" t="s">
        <v>476</v>
      </c>
      <c r="B4" s="19" t="n">
        <v>2</v>
      </c>
      <c r="C4" s="20" t="s">
        <v>477</v>
      </c>
      <c r="D4" s="20" t="s">
        <v>478</v>
      </c>
      <c r="E4" s="20" t="s">
        <v>479</v>
      </c>
      <c r="F4" s="20" t="s">
        <v>480</v>
      </c>
      <c r="G4" s="19" t="s">
        <v>481</v>
      </c>
    </row>
    <row r="5" customFormat="false" ht="28.35" hidden="false" customHeight="false" outlineLevel="0" collapsed="false">
      <c r="A5" s="19" t="s">
        <v>482</v>
      </c>
      <c r="B5" s="19" t="n">
        <v>4</v>
      </c>
      <c r="C5" s="20" t="s">
        <v>483</v>
      </c>
      <c r="D5" s="20" t="s">
        <v>484</v>
      </c>
      <c r="E5" s="20" t="s">
        <v>485</v>
      </c>
      <c r="F5" s="20" t="s">
        <v>486</v>
      </c>
      <c r="G5" s="19" t="s">
        <v>481</v>
      </c>
    </row>
    <row r="6" customFormat="false" ht="28.35" hidden="false" customHeight="false" outlineLevel="0" collapsed="false">
      <c r="A6" s="19" t="s">
        <v>487</v>
      </c>
      <c r="B6" s="19" t="n">
        <v>3</v>
      </c>
      <c r="C6" s="20" t="s">
        <v>488</v>
      </c>
      <c r="D6" s="20" t="s">
        <v>489</v>
      </c>
      <c r="E6" s="20" t="s">
        <v>490</v>
      </c>
      <c r="F6" s="20" t="s">
        <v>486</v>
      </c>
      <c r="G6" s="19" t="s">
        <v>481</v>
      </c>
    </row>
    <row r="7" customFormat="false" ht="28.35" hidden="false" customHeight="false" outlineLevel="0" collapsed="false">
      <c r="A7" s="19" t="s">
        <v>491</v>
      </c>
      <c r="B7" s="19" t="n">
        <v>20</v>
      </c>
      <c r="C7" s="20" t="s">
        <v>492</v>
      </c>
      <c r="D7" s="20" t="s">
        <v>493</v>
      </c>
      <c r="E7" s="20" t="s">
        <v>494</v>
      </c>
      <c r="F7" s="20" t="s">
        <v>486</v>
      </c>
      <c r="G7" s="19" t="s">
        <v>481</v>
      </c>
    </row>
    <row r="8" customFormat="false" ht="28.35" hidden="false" customHeight="false" outlineLevel="0" collapsed="false">
      <c r="A8" s="19" t="s">
        <v>495</v>
      </c>
      <c r="B8" s="19" t="n">
        <v>19</v>
      </c>
      <c r="C8" s="20" t="s">
        <v>496</v>
      </c>
      <c r="D8" s="20" t="s">
        <v>497</v>
      </c>
      <c r="E8" s="20" t="s">
        <v>498</v>
      </c>
      <c r="F8" s="20" t="s">
        <v>499</v>
      </c>
      <c r="G8" s="19" t="s">
        <v>481</v>
      </c>
    </row>
    <row r="9" customFormat="false" ht="28.35" hidden="false" customHeight="false" outlineLevel="0" collapsed="false">
      <c r="A9" s="19" t="s">
        <v>500</v>
      </c>
      <c r="B9" s="19" t="n">
        <v>17</v>
      </c>
      <c r="C9" s="20" t="s">
        <v>501</v>
      </c>
      <c r="D9" s="20" t="s">
        <v>502</v>
      </c>
      <c r="E9" s="20" t="s">
        <v>503</v>
      </c>
      <c r="F9" s="20" t="s">
        <v>504</v>
      </c>
      <c r="G9" s="19" t="s">
        <v>481</v>
      </c>
    </row>
    <row r="10" customFormat="false" ht="28.35" hidden="false" customHeight="false" outlineLevel="0" collapsed="false">
      <c r="A10" s="19" t="s">
        <v>505</v>
      </c>
      <c r="B10" s="19" t="n">
        <v>13</v>
      </c>
      <c r="C10" s="20" t="s">
        <v>506</v>
      </c>
      <c r="D10" s="20" t="s">
        <v>507</v>
      </c>
      <c r="E10" s="20" t="s">
        <v>508</v>
      </c>
      <c r="F10" s="20" t="s">
        <v>509</v>
      </c>
      <c r="G10" s="19" t="s">
        <v>481</v>
      </c>
    </row>
    <row r="11" customFormat="false" ht="28.35" hidden="false" customHeight="false" outlineLevel="0" collapsed="false">
      <c r="A11" s="19" t="s">
        <v>510</v>
      </c>
      <c r="B11" s="19" t="n">
        <v>16</v>
      </c>
      <c r="C11" s="20" t="s">
        <v>511</v>
      </c>
      <c r="D11" s="20" t="s">
        <v>512</v>
      </c>
      <c r="E11" s="20" t="s">
        <v>513</v>
      </c>
      <c r="F11" s="20" t="s">
        <v>514</v>
      </c>
      <c r="G11" s="19" t="s">
        <v>481</v>
      </c>
    </row>
    <row r="12" customFormat="false" ht="28.35" hidden="false" customHeight="false" outlineLevel="0" collapsed="false">
      <c r="A12" s="19" t="s">
        <v>515</v>
      </c>
      <c r="B12" s="19" t="n">
        <v>21</v>
      </c>
      <c r="C12" s="20" t="s">
        <v>516</v>
      </c>
      <c r="D12" s="20" t="s">
        <v>517</v>
      </c>
      <c r="E12" s="20" t="s">
        <v>518</v>
      </c>
      <c r="F12" s="20"/>
      <c r="G12" s="19" t="s">
        <v>519</v>
      </c>
    </row>
    <row r="13" customFormat="false" ht="28.35" hidden="false" customHeight="false" outlineLevel="0" collapsed="false">
      <c r="A13" s="19" t="s">
        <v>520</v>
      </c>
      <c r="B13" s="19" t="n">
        <v>21</v>
      </c>
      <c r="C13" s="20" t="s">
        <v>521</v>
      </c>
      <c r="D13" s="20" t="s">
        <v>522</v>
      </c>
      <c r="E13" s="20" t="s">
        <v>523</v>
      </c>
      <c r="F13" s="20"/>
      <c r="G13" s="19" t="s">
        <v>519</v>
      </c>
    </row>
    <row r="14" customFormat="false" ht="28.35" hidden="false" customHeight="false" outlineLevel="0" collapsed="false">
      <c r="A14" s="19" t="s">
        <v>524</v>
      </c>
      <c r="B14" s="19" t="n">
        <v>21</v>
      </c>
      <c r="C14" s="20" t="s">
        <v>525</v>
      </c>
      <c r="D14" s="20" t="s">
        <v>526</v>
      </c>
      <c r="E14" s="20" t="s">
        <v>527</v>
      </c>
      <c r="F14" s="20" t="s">
        <v>528</v>
      </c>
      <c r="G14" s="19" t="s">
        <v>519</v>
      </c>
    </row>
    <row r="15" customFormat="false" ht="28.35" hidden="false" customHeight="false" outlineLevel="0" collapsed="false">
      <c r="A15" s="19" t="s">
        <v>529</v>
      </c>
      <c r="B15" s="19" t="n">
        <v>11</v>
      </c>
      <c r="C15" s="20" t="s">
        <v>530</v>
      </c>
      <c r="D15" s="20" t="s">
        <v>531</v>
      </c>
      <c r="E15" s="20" t="s">
        <v>532</v>
      </c>
      <c r="F15" s="20" t="s">
        <v>533</v>
      </c>
      <c r="G15" s="19" t="s">
        <v>481</v>
      </c>
    </row>
    <row r="16" customFormat="false" ht="28.35" hidden="false" customHeight="false" outlineLevel="0" collapsed="false">
      <c r="A16" s="19" t="s">
        <v>534</v>
      </c>
      <c r="B16" s="19" t="n">
        <v>23</v>
      </c>
      <c r="C16" s="20" t="s">
        <v>535</v>
      </c>
      <c r="D16" s="20" t="s">
        <v>536</v>
      </c>
      <c r="E16" s="20" t="s">
        <v>537</v>
      </c>
      <c r="F16" s="20"/>
      <c r="G16" s="19" t="s">
        <v>519</v>
      </c>
    </row>
    <row r="17" customFormat="false" ht="28.35" hidden="false" customHeight="false" outlineLevel="0" collapsed="false">
      <c r="A17" s="19" t="s">
        <v>538</v>
      </c>
      <c r="B17" s="19" t="n">
        <v>24</v>
      </c>
      <c r="C17" s="20" t="s">
        <v>539</v>
      </c>
      <c r="D17" s="20" t="s">
        <v>540</v>
      </c>
      <c r="E17" s="20" t="s">
        <v>541</v>
      </c>
      <c r="F17" s="20" t="s">
        <v>542</v>
      </c>
      <c r="G17" s="19" t="s">
        <v>519</v>
      </c>
    </row>
    <row r="18" customFormat="false" ht="28.35" hidden="false" customHeight="false" outlineLevel="0" collapsed="false">
      <c r="A18" s="19" t="s">
        <v>543</v>
      </c>
      <c r="B18" s="19" t="n">
        <v>1</v>
      </c>
      <c r="C18" s="20" t="s">
        <v>544</v>
      </c>
      <c r="D18" s="20" t="s">
        <v>545</v>
      </c>
      <c r="E18" s="20" t="s">
        <v>546</v>
      </c>
      <c r="F18" s="20" t="s">
        <v>547</v>
      </c>
      <c r="G18" s="19" t="s">
        <v>481</v>
      </c>
    </row>
    <row r="19" customFormat="false" ht="41.75" hidden="false" customHeight="false" outlineLevel="0" collapsed="false">
      <c r="A19" s="19" t="s">
        <v>548</v>
      </c>
      <c r="B19" s="19" t="n">
        <v>27</v>
      </c>
      <c r="C19" s="20" t="s">
        <v>549</v>
      </c>
      <c r="D19" s="20" t="s">
        <v>550</v>
      </c>
      <c r="E19" s="20" t="s">
        <v>551</v>
      </c>
      <c r="F19" s="20"/>
      <c r="G19" s="19" t="s">
        <v>519</v>
      </c>
    </row>
    <row r="20" customFormat="false" ht="28.35" hidden="false" customHeight="false" outlineLevel="0" collapsed="false">
      <c r="A20" s="19" t="s">
        <v>552</v>
      </c>
      <c r="B20" s="19" t="n">
        <v>27</v>
      </c>
      <c r="C20" s="20" t="s">
        <v>553</v>
      </c>
      <c r="D20" s="20" t="s">
        <v>554</v>
      </c>
      <c r="E20" s="20" t="s">
        <v>555</v>
      </c>
      <c r="F20" s="20"/>
      <c r="G20" s="19" t="s">
        <v>519</v>
      </c>
    </row>
    <row r="22" customFormat="false" ht="15" hidden="false" customHeight="false" outlineLevel="0" collapsed="false">
      <c r="F22" s="27" t="s">
        <v>556</v>
      </c>
      <c r="G22" s="27" t="str">
        <f aca="false">COUNTIF(G4:G20,"Aprobada")&amp;" de "&amp;COUNTA(A4:A20)</f>
        <v>10 de 17</v>
      </c>
    </row>
  </sheetData>
  <mergeCells count="2">
    <mergeCell ref="A1:G1"/>
    <mergeCell ref="A2:G2"/>
  </mergeCells>
  <conditionalFormatting sqref="G4:G20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  <cfRule type="cellIs" priority="10" operator="equal" aboveAverage="0" equalAverage="0" bottom="0" percent="0" rank="0" text="" dxfId="3">
      <formula>"Fallida"</formula>
    </cfRule>
  </conditionalFormatting>
  <dataValidations count="1">
    <dataValidation allowBlank="true" errorStyle="stop" operator="between" showDropDown="false" showErrorMessage="false" showInputMessage="false" sqref="G4:G20" type="list">
      <formula1>"Aprobada,Fallida,Pendiente"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32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6" t="s">
        <v>557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7" t="s">
        <v>558</v>
      </c>
      <c r="B2" s="17"/>
      <c r="C2" s="17"/>
      <c r="D2" s="17"/>
      <c r="E2" s="17"/>
      <c r="F2" s="17"/>
      <c r="G2" s="17"/>
      <c r="H2" s="17"/>
    </row>
    <row r="3" customFormat="false" ht="15" hidden="false" customHeight="false" outlineLevel="0" collapsed="false">
      <c r="A3" s="18" t="s">
        <v>471</v>
      </c>
      <c r="B3" s="18" t="s">
        <v>559</v>
      </c>
      <c r="C3" s="18" t="s">
        <v>560</v>
      </c>
      <c r="D3" s="18" t="s">
        <v>561</v>
      </c>
      <c r="E3" s="18" t="s">
        <v>562</v>
      </c>
      <c r="F3" s="18" t="s">
        <v>563</v>
      </c>
      <c r="G3" s="18" t="s">
        <v>564</v>
      </c>
      <c r="H3" s="18" t="s">
        <v>565</v>
      </c>
    </row>
    <row r="4" customFormat="false" ht="49.5" hidden="false" customHeight="true" outlineLevel="0" collapsed="false">
      <c r="A4" s="19" t="s">
        <v>566</v>
      </c>
      <c r="B4" s="20" t="s">
        <v>567</v>
      </c>
      <c r="C4" s="20" t="s">
        <v>568</v>
      </c>
      <c r="D4" s="20" t="s">
        <v>569</v>
      </c>
      <c r="E4" s="20" t="s">
        <v>570</v>
      </c>
      <c r="F4" s="19" t="n">
        <v>10</v>
      </c>
      <c r="G4" s="19"/>
      <c r="H4" s="20"/>
    </row>
    <row r="5" customFormat="false" ht="49.5" hidden="false" customHeight="true" outlineLevel="0" collapsed="false">
      <c r="A5" s="19" t="s">
        <v>571</v>
      </c>
      <c r="B5" s="20" t="s">
        <v>572</v>
      </c>
      <c r="C5" s="20" t="s">
        <v>573</v>
      </c>
      <c r="D5" s="20" t="s">
        <v>574</v>
      </c>
      <c r="E5" s="20" t="s">
        <v>575</v>
      </c>
      <c r="F5" s="19" t="n">
        <v>10</v>
      </c>
      <c r="G5" s="19"/>
      <c r="H5" s="20"/>
    </row>
    <row r="6" customFormat="false" ht="49.5" hidden="false" customHeight="true" outlineLevel="0" collapsed="false">
      <c r="A6" s="19" t="s">
        <v>576</v>
      </c>
      <c r="B6" s="20" t="s">
        <v>577</v>
      </c>
      <c r="C6" s="20" t="s">
        <v>578</v>
      </c>
      <c r="D6" s="20" t="s">
        <v>579</v>
      </c>
      <c r="E6" s="20" t="s">
        <v>580</v>
      </c>
      <c r="F6" s="19" t="n">
        <v>10</v>
      </c>
      <c r="G6" s="19"/>
      <c r="H6" s="20"/>
    </row>
    <row r="7" customFormat="false" ht="49.5" hidden="false" customHeight="true" outlineLevel="0" collapsed="false">
      <c r="A7" s="19" t="s">
        <v>581</v>
      </c>
      <c r="B7" s="20" t="s">
        <v>582</v>
      </c>
      <c r="C7" s="20" t="s">
        <v>583</v>
      </c>
      <c r="D7" s="20" t="s">
        <v>584</v>
      </c>
      <c r="E7" s="20" t="s">
        <v>585</v>
      </c>
      <c r="F7" s="19" t="n">
        <v>10</v>
      </c>
      <c r="G7" s="19"/>
      <c r="H7" s="20"/>
    </row>
    <row r="8" customFormat="false" ht="49.5" hidden="false" customHeight="true" outlineLevel="0" collapsed="false">
      <c r="A8" s="19" t="s">
        <v>586</v>
      </c>
      <c r="B8" s="20" t="s">
        <v>587</v>
      </c>
      <c r="C8" s="20" t="s">
        <v>588</v>
      </c>
      <c r="D8" s="20" t="s">
        <v>589</v>
      </c>
      <c r="E8" s="20" t="s">
        <v>590</v>
      </c>
      <c r="F8" s="19" t="n">
        <v>10</v>
      </c>
      <c r="G8" s="19"/>
      <c r="H8" s="20"/>
    </row>
    <row r="9" customFormat="false" ht="49.5" hidden="false" customHeight="true" outlineLevel="0" collapsed="false">
      <c r="A9" s="19" t="s">
        <v>591</v>
      </c>
      <c r="B9" s="20" t="s">
        <v>592</v>
      </c>
      <c r="C9" s="20" t="s">
        <v>593</v>
      </c>
      <c r="D9" s="20" t="s">
        <v>594</v>
      </c>
      <c r="E9" s="20" t="s">
        <v>595</v>
      </c>
      <c r="F9" s="19" t="n">
        <v>10</v>
      </c>
      <c r="G9" s="19"/>
      <c r="H9" s="20"/>
    </row>
    <row r="10" customFormat="false" ht="49.5" hidden="false" customHeight="true" outlineLevel="0" collapsed="false">
      <c r="A10" s="19" t="s">
        <v>596</v>
      </c>
      <c r="B10" s="20" t="s">
        <v>597</v>
      </c>
      <c r="C10" s="20" t="s">
        <v>598</v>
      </c>
      <c r="D10" s="20" t="s">
        <v>599</v>
      </c>
      <c r="E10" s="20" t="s">
        <v>600</v>
      </c>
      <c r="F10" s="19" t="n">
        <v>10</v>
      </c>
      <c r="G10" s="19"/>
      <c r="H10" s="20"/>
    </row>
    <row r="11" customFormat="false" ht="49.5" hidden="false" customHeight="true" outlineLevel="0" collapsed="false">
      <c r="A11" s="19" t="s">
        <v>601</v>
      </c>
      <c r="B11" s="20" t="s">
        <v>602</v>
      </c>
      <c r="C11" s="20" t="s">
        <v>603</v>
      </c>
      <c r="D11" s="20" t="s">
        <v>604</v>
      </c>
      <c r="E11" s="20" t="s">
        <v>605</v>
      </c>
      <c r="F11" s="19" t="n">
        <v>10</v>
      </c>
      <c r="G11" s="19"/>
      <c r="H11" s="20"/>
    </row>
    <row r="12" customFormat="false" ht="15" hidden="false" customHeight="false" outlineLevel="0" collapsed="false">
      <c r="E12" s="32" t="s">
        <v>33</v>
      </c>
      <c r="F12" s="12" t="n">
        <f aca="false">SUM(F4:F11)</f>
        <v>80</v>
      </c>
      <c r="G12" s="12" t="str">
        <f aca="false">IF(COUNT(G4:G11)=0,"",SUM(G4:G11))</f>
        <v/>
      </c>
    </row>
    <row r="14" customFormat="false" ht="15" hidden="false" customHeight="false" outlineLevel="0" collapsed="false">
      <c r="A14" s="7" t="s">
        <v>606</v>
      </c>
    </row>
    <row r="15" customFormat="false" ht="15" hidden="false" customHeight="true" outlineLevel="0" collapsed="false">
      <c r="A15" s="18" t="s">
        <v>471</v>
      </c>
      <c r="B15" s="18" t="s">
        <v>322</v>
      </c>
      <c r="C15" s="18" t="s">
        <v>607</v>
      </c>
      <c r="D15" s="18" t="s">
        <v>608</v>
      </c>
      <c r="E15" s="18" t="s">
        <v>609</v>
      </c>
      <c r="F15" s="18" t="s">
        <v>610</v>
      </c>
      <c r="G15" s="18"/>
      <c r="H15" s="18" t="s">
        <v>565</v>
      </c>
    </row>
    <row r="16" customFormat="false" ht="75" hidden="false" customHeight="true" outlineLevel="0" collapsed="false">
      <c r="A16" s="19" t="s">
        <v>611</v>
      </c>
      <c r="B16" s="21" t="n">
        <v>46317</v>
      </c>
      <c r="C16" s="20" t="s">
        <v>612</v>
      </c>
      <c r="D16" s="20" t="s">
        <v>613</v>
      </c>
      <c r="E16" s="20" t="s">
        <v>614</v>
      </c>
      <c r="F16" s="19" t="s">
        <v>615</v>
      </c>
      <c r="G16" s="19"/>
      <c r="H16" s="20" t="s">
        <v>616</v>
      </c>
    </row>
    <row r="17" customFormat="false" ht="31.5" hidden="false" customHeight="true" outlineLevel="0" collapsed="false">
      <c r="A17" s="19" t="s">
        <v>617</v>
      </c>
      <c r="B17" s="21" t="n">
        <v>46318</v>
      </c>
      <c r="C17" s="20" t="s">
        <v>612</v>
      </c>
      <c r="D17" s="20" t="s">
        <v>618</v>
      </c>
      <c r="E17" s="20" t="s">
        <v>619</v>
      </c>
      <c r="F17" s="19" t="s">
        <v>481</v>
      </c>
      <c r="G17" s="19"/>
      <c r="H17" s="20" t="s">
        <v>620</v>
      </c>
    </row>
    <row r="18" customFormat="false" ht="31.5" hidden="false" customHeight="true" outlineLevel="0" collapsed="false">
      <c r="A18" s="19" t="s">
        <v>621</v>
      </c>
      <c r="B18" s="21"/>
      <c r="C18" s="20" t="s">
        <v>622</v>
      </c>
      <c r="D18" s="20" t="s">
        <v>623</v>
      </c>
      <c r="E18" s="20"/>
      <c r="F18" s="19" t="s">
        <v>519</v>
      </c>
      <c r="G18" s="19"/>
      <c r="H18" s="20"/>
    </row>
    <row r="19" customFormat="false" ht="31.5" hidden="false" customHeight="true" outlineLevel="0" collapsed="false">
      <c r="A19" s="19" t="s">
        <v>624</v>
      </c>
      <c r="B19" s="21"/>
      <c r="C19" s="20" t="s">
        <v>612</v>
      </c>
      <c r="D19" s="20" t="s">
        <v>625</v>
      </c>
      <c r="E19" s="20"/>
      <c r="F19" s="19" t="s">
        <v>519</v>
      </c>
      <c r="G19" s="19"/>
      <c r="H19" s="20"/>
    </row>
  </sheetData>
  <mergeCells count="7">
    <mergeCell ref="A1:H1"/>
    <mergeCell ref="A2:H2"/>
    <mergeCell ref="F15:G15"/>
    <mergeCell ref="F16:G16"/>
    <mergeCell ref="F17:G17"/>
    <mergeCell ref="F18:G18"/>
    <mergeCell ref="F19:G19"/>
  </mergeCells>
  <conditionalFormatting sqref="F16:F19">
    <cfRule type="cellIs" priority="2" operator="equal" aboveAverage="0" equalAverage="0" bottom="0" percent="0" rank="0" text="" dxfId="1">
      <formula>"Con observaciones"</formula>
    </cfRule>
    <cfRule type="cellIs" priority="3" operator="equal" aboveAverage="0" equalAverage="0" bottom="0" percent="0" rank="0" text="" dxfId="3">
      <formula>"Fallida"</formula>
    </cfRule>
    <cfRule type="cellIs" priority="4" operator="equal" aboveAverage="0" equalAverage="0" bottom="0" percent="0" rank="0" text="" dxfId="0">
      <formula>"Terminado"</formula>
    </cfRule>
    <cfRule type="cellIs" priority="5" operator="equal" aboveAverage="0" equalAverage="0" bottom="0" percent="0" rank="0" text="" dxfId="1">
      <formula>"En desarrollo"</formula>
    </cfRule>
    <cfRule type="cellIs" priority="6" operator="equal" aboveAverage="0" equalAverage="0" bottom="0" percent="0" rank="0" text="" dxfId="2">
      <formula>"Planeado"</formula>
    </cfRule>
    <cfRule type="cellIs" priority="7" operator="equal" aboveAverage="0" equalAverage="0" bottom="0" percent="0" rank="0" text="" dxfId="0">
      <formula>"Corregido"</formula>
    </cfRule>
    <cfRule type="cellIs" priority="8" operator="equal" aboveAverage="0" equalAverage="0" bottom="0" percent="0" rank="0" text="" dxfId="0">
      <formula>"Aprobada"</formula>
    </cfRule>
    <cfRule type="cellIs" priority="9" operator="equal" aboveAverage="0" equalAverage="0" bottom="0" percent="0" rank="0" text="" dxfId="1">
      <formula>"Por verificar"</formula>
    </cfRule>
    <cfRule type="cellIs" priority="10" operator="equal" aboveAverage="0" equalAverage="0" bottom="0" percent="0" rank="0" text="" dxfId="1">
      <formula>"Pendiente"</formula>
    </cfRule>
    <cfRule type="cellIs" priority="11" operator="equal" aboveAverage="0" equalAverage="0" bottom="0" percent="0" rank="0" text="" dxfId="3">
      <formula>"Abierto"</formula>
    </cfRule>
  </conditionalFormatting>
  <dataValidations count="2">
    <dataValidation allowBlank="true" errorStyle="stop" operator="between" showDropDown="false" showErrorMessage="false" showInputMessage="false" sqref="G4:G11" type="list">
      <formula1>"10,5,0"</formula1>
      <formula2>0</formula2>
    </dataValidation>
    <dataValidation allowBlank="true" errorStyle="stop" operator="between" showDropDown="false" showErrorMessage="false" showInputMessage="false" sqref="F16:F19" type="list">
      <formula1>"Aprobada,Con observaciones,Fallida,Pendiente"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6" t="s">
        <v>626</v>
      </c>
      <c r="B1" s="16"/>
      <c r="C1" s="16"/>
      <c r="D1" s="16"/>
      <c r="E1" s="16"/>
    </row>
    <row r="2" customFormat="false" ht="15" hidden="false" customHeight="false" outlineLevel="0" collapsed="false">
      <c r="A2" s="17" t="s">
        <v>627</v>
      </c>
      <c r="B2" s="17"/>
      <c r="C2" s="17"/>
      <c r="D2" s="17"/>
      <c r="E2" s="17"/>
    </row>
    <row r="3" customFormat="false" ht="30" hidden="false" customHeight="true" outlineLevel="0" collapsed="false">
      <c r="A3" s="18" t="s">
        <v>628</v>
      </c>
      <c r="B3" s="18" t="s">
        <v>629</v>
      </c>
      <c r="C3" s="18" t="s">
        <v>65</v>
      </c>
      <c r="D3" s="18" t="s">
        <v>26</v>
      </c>
      <c r="E3" s="18" t="s">
        <v>25</v>
      </c>
    </row>
    <row r="4" customFormat="false" ht="15" hidden="false" customHeight="false" outlineLevel="0" collapsed="false">
      <c r="A4" s="19" t="s">
        <v>630</v>
      </c>
      <c r="B4" s="20" t="s">
        <v>631</v>
      </c>
      <c r="C4" s="19" t="s">
        <v>632</v>
      </c>
      <c r="D4" s="20" t="s">
        <v>225</v>
      </c>
      <c r="E4" s="19" t="str">
        <f aca="false">IFERROR(INDEX('Feature Log'!$C$4:$C$32,MATCH(VALUE(LEFT(C4,FIND(",",C4&amp;",")-1)),'Feature Log'!$A$4:$A$32,0)),"")</f>
        <v>Terminado</v>
      </c>
    </row>
    <row r="5" customFormat="false" ht="15" hidden="false" customHeight="false" outlineLevel="0" collapsed="false">
      <c r="A5" s="19" t="s">
        <v>633</v>
      </c>
      <c r="B5" s="20" t="s">
        <v>634</v>
      </c>
      <c r="C5" s="19" t="s">
        <v>635</v>
      </c>
      <c r="D5" s="20" t="s">
        <v>177</v>
      </c>
      <c r="E5" s="19" t="str">
        <f aca="false">IFERROR(INDEX('Feature Log'!$C$4:$C$32,MATCH(VALUE(LEFT(C5,FIND(",",C5&amp;",")-1)),'Feature Log'!$A$4:$A$32,0)),"")</f>
        <v>Terminado</v>
      </c>
    </row>
    <row r="6" customFormat="false" ht="15" hidden="false" customHeight="false" outlineLevel="0" collapsed="false">
      <c r="A6" s="19" t="s">
        <v>633</v>
      </c>
      <c r="B6" s="20" t="s">
        <v>636</v>
      </c>
      <c r="C6" s="19" t="s">
        <v>637</v>
      </c>
      <c r="D6" s="20" t="s">
        <v>203</v>
      </c>
      <c r="E6" s="19" t="str">
        <f aca="false">IFERROR(INDEX('Feature Log'!$C$4:$C$32,MATCH(VALUE(LEFT(C6,FIND(",",C6&amp;",")-1)),'Feature Log'!$A$4:$A$32,0)),"")</f>
        <v>Terminado</v>
      </c>
    </row>
    <row r="7" customFormat="false" ht="15" hidden="false" customHeight="false" outlineLevel="0" collapsed="false">
      <c r="A7" s="19" t="s">
        <v>633</v>
      </c>
      <c r="B7" s="20" t="s">
        <v>638</v>
      </c>
      <c r="C7" s="19" t="s">
        <v>639</v>
      </c>
      <c r="D7" s="20" t="s">
        <v>185</v>
      </c>
      <c r="E7" s="19" t="str">
        <f aca="false">IFERROR(INDEX('Feature Log'!$C$4:$C$32,MATCH(VALUE(LEFT(C7,FIND(",",C7&amp;",")-1)),'Feature Log'!$A$4:$A$32,0)),"")</f>
        <v>Terminado</v>
      </c>
    </row>
    <row r="8" customFormat="false" ht="15" hidden="false" customHeight="false" outlineLevel="0" collapsed="false">
      <c r="A8" s="19" t="s">
        <v>640</v>
      </c>
      <c r="B8" s="20" t="s">
        <v>641</v>
      </c>
      <c r="C8" s="19" t="s">
        <v>639</v>
      </c>
      <c r="D8" s="20" t="s">
        <v>642</v>
      </c>
      <c r="E8" s="19" t="str">
        <f aca="false">IFERROR(INDEX('Feature Log'!$C$4:$C$32,MATCH(VALUE(LEFT(C8,FIND(",",C8&amp;",")-1)),'Feature Log'!$A$4:$A$32,0)),"")</f>
        <v>Terminado</v>
      </c>
    </row>
    <row r="9" customFormat="false" ht="15" hidden="false" customHeight="false" outlineLevel="0" collapsed="false">
      <c r="A9" s="19" t="s">
        <v>643</v>
      </c>
      <c r="B9" s="20" t="s">
        <v>511</v>
      </c>
      <c r="C9" s="19" t="s">
        <v>644</v>
      </c>
      <c r="D9" s="20" t="s">
        <v>221</v>
      </c>
      <c r="E9" s="19" t="str">
        <f aca="false">IFERROR(INDEX('Feature Log'!$C$4:$C$32,MATCH(VALUE(LEFT(C9,FIND(",",C9&amp;",")-1)),'Feature Log'!$A$4:$A$32,0)),"")</f>
        <v>Terminado</v>
      </c>
    </row>
    <row r="10" customFormat="false" ht="15" hidden="false" customHeight="false" outlineLevel="0" collapsed="false">
      <c r="A10" s="19" t="s">
        <v>645</v>
      </c>
      <c r="B10" s="20" t="s">
        <v>646</v>
      </c>
      <c r="C10" s="19" t="s">
        <v>647</v>
      </c>
      <c r="D10" s="20" t="s">
        <v>648</v>
      </c>
      <c r="E10" s="19" t="str">
        <f aca="false">IFERROR(INDEX('Feature Log'!$C$4:$C$32,MATCH(VALUE(LEFT(C10,FIND(",",C10&amp;",")-1)),'Feature Log'!$A$4:$A$32,0)),"")</f>
        <v>Terminado</v>
      </c>
    </row>
    <row r="11" customFormat="false" ht="15" hidden="false" customHeight="false" outlineLevel="0" collapsed="false">
      <c r="A11" s="19" t="s">
        <v>649</v>
      </c>
      <c r="B11" s="20" t="s">
        <v>650</v>
      </c>
      <c r="C11" s="19" t="s">
        <v>651</v>
      </c>
      <c r="D11" s="20" t="s">
        <v>652</v>
      </c>
      <c r="E11" s="19" t="str">
        <f aca="false">IFERROR(INDEX('Feature Log'!$C$4:$C$32,MATCH(VALUE(LEFT(C11,FIND(",",C11&amp;",")-1)),'Feature Log'!$A$4:$A$32,0)),"")</f>
        <v>Terminado</v>
      </c>
    </row>
    <row r="12" customFormat="false" ht="15" hidden="false" customHeight="false" outlineLevel="0" collapsed="false">
      <c r="A12" s="19" t="s">
        <v>653</v>
      </c>
      <c r="B12" s="20" t="s">
        <v>654</v>
      </c>
      <c r="C12" s="19" t="s">
        <v>655</v>
      </c>
      <c r="D12" s="20" t="s">
        <v>211</v>
      </c>
      <c r="E12" s="19" t="str">
        <f aca="false">IFERROR(INDEX('Feature Log'!$C$4:$C$32,MATCH(VALUE(LEFT(C12,FIND(",",C12&amp;",")-1)),'Feature Log'!$A$4:$A$32,0)),"")</f>
        <v>Terminado</v>
      </c>
    </row>
    <row r="13" customFormat="false" ht="15" hidden="false" customHeight="false" outlineLevel="0" collapsed="false">
      <c r="A13" s="19" t="s">
        <v>656</v>
      </c>
      <c r="B13" s="20" t="s">
        <v>657</v>
      </c>
      <c r="C13" s="19" t="s">
        <v>658</v>
      </c>
      <c r="D13" s="20" t="s">
        <v>659</v>
      </c>
      <c r="E13" s="19" t="str">
        <f aca="false">IFERROR(INDEX('Feature Log'!$C$4:$C$32,MATCH(VALUE(LEFT(C13,FIND(",",C13&amp;",")-1)),'Feature Log'!$A$4:$A$32,0)),"")</f>
        <v>Terminado</v>
      </c>
    </row>
    <row r="14" customFormat="false" ht="15" hidden="false" customHeight="false" outlineLevel="0" collapsed="false">
      <c r="A14" s="19" t="s">
        <v>660</v>
      </c>
      <c r="B14" s="20" t="s">
        <v>661</v>
      </c>
      <c r="C14" s="19" t="s">
        <v>662</v>
      </c>
      <c r="D14" s="20" t="s">
        <v>663</v>
      </c>
      <c r="E14" s="19" t="str">
        <f aca="false">IFERROR(INDEX('Feature Log'!$C$4:$C$32,MATCH(VALUE(LEFT(C14,FIND(",",C14&amp;",")-1)),'Feature Log'!$A$4:$A$32,0)),"")</f>
        <v>Terminado</v>
      </c>
    </row>
    <row r="15" customFormat="false" ht="15" hidden="false" customHeight="false" outlineLevel="0" collapsed="false">
      <c r="A15" s="19" t="s">
        <v>664</v>
      </c>
      <c r="B15" s="20" t="s">
        <v>665</v>
      </c>
      <c r="C15" s="19" t="s">
        <v>666</v>
      </c>
      <c r="D15" s="20" t="s">
        <v>219</v>
      </c>
      <c r="E15" s="19" t="str">
        <f aca="false">IFERROR(INDEX('Feature Log'!$C$4:$C$32,MATCH(VALUE(LEFT(C15,FIND(",",C15&amp;",")-1)),'Feature Log'!$A$4:$A$32,0)),"")</f>
        <v>Terminado</v>
      </c>
    </row>
    <row r="16" customFormat="false" ht="15" hidden="false" customHeight="false" outlineLevel="0" collapsed="false">
      <c r="A16" s="19" t="s">
        <v>667</v>
      </c>
      <c r="B16" s="20" t="s">
        <v>668</v>
      </c>
      <c r="C16" s="19" t="s">
        <v>655</v>
      </c>
      <c r="D16" s="20" t="s">
        <v>669</v>
      </c>
      <c r="E16" s="19" t="str">
        <f aca="false">IFERROR(INDEX('Feature Log'!$C$4:$C$32,MATCH(VALUE(LEFT(C16,FIND(",",C16&amp;",")-1)),'Feature Log'!$A$4:$A$32,0)),"")</f>
        <v>Terminado</v>
      </c>
    </row>
    <row r="17" customFormat="false" ht="15" hidden="false" customHeight="false" outlineLevel="0" collapsed="false">
      <c r="A17" s="19" t="s">
        <v>670</v>
      </c>
      <c r="B17" s="20" t="s">
        <v>671</v>
      </c>
      <c r="C17" s="19" t="s">
        <v>672</v>
      </c>
      <c r="D17" s="20" t="s">
        <v>673</v>
      </c>
      <c r="E17" s="19" t="str">
        <f aca="false">IFERROR(INDEX('Feature Log'!$C$4:$C$32,MATCH(VALUE(LEFT(C17,FIND(",",C17&amp;",")-1)),'Feature Log'!$A$4:$A$32,0)),"")</f>
        <v>Terminado</v>
      </c>
    </row>
    <row r="18" customFormat="false" ht="15" hidden="false" customHeight="false" outlineLevel="0" collapsed="false">
      <c r="A18" s="19" t="s">
        <v>674</v>
      </c>
      <c r="B18" s="20" t="s">
        <v>675</v>
      </c>
      <c r="C18" s="19" t="s">
        <v>676</v>
      </c>
      <c r="D18" s="20" t="s">
        <v>197</v>
      </c>
      <c r="E18" s="19" t="str">
        <f aca="false">IFERROR(INDEX('Feature Log'!$C$4:$C$32,MATCH(VALUE(LEFT(C18,FIND(",",C18&amp;",")-1)),'Feature Log'!$A$4:$A$32,0)),"")</f>
        <v>Terminado</v>
      </c>
    </row>
    <row r="19" customFormat="false" ht="15" hidden="false" customHeight="false" outlineLevel="0" collapsed="false">
      <c r="A19" s="19" t="s">
        <v>677</v>
      </c>
      <c r="B19" s="20" t="s">
        <v>678</v>
      </c>
      <c r="C19" s="19" t="s">
        <v>679</v>
      </c>
      <c r="D19" s="20" t="s">
        <v>213</v>
      </c>
      <c r="E19" s="19" t="str">
        <f aca="false">IFERROR(INDEX('Feature Log'!$C$4:$C$32,MATCH(VALUE(LEFT(C19,FIND(",",C19&amp;",")-1)),'Feature Log'!$A$4:$A$32,0)),"")</f>
        <v>Terminado</v>
      </c>
    </row>
    <row r="20" customFormat="false" ht="15" hidden="false" customHeight="false" outlineLevel="0" collapsed="false">
      <c r="A20" s="19" t="s">
        <v>680</v>
      </c>
      <c r="B20" s="20" t="s">
        <v>681</v>
      </c>
      <c r="C20" s="19" t="s">
        <v>682</v>
      </c>
      <c r="D20" s="20" t="s">
        <v>683</v>
      </c>
      <c r="E20" s="19" t="str">
        <f aca="false">IFERROR(INDEX('Feature Log'!$C$4:$C$32,MATCH(VALUE(LEFT(C20,FIND(",",C20&amp;",")-1)),'Feature Log'!$A$4:$A$32,0)),"")</f>
        <v>Terminado</v>
      </c>
    </row>
    <row r="21" customFormat="false" ht="15" hidden="false" customHeight="false" outlineLevel="0" collapsed="false">
      <c r="A21" s="19" t="s">
        <v>684</v>
      </c>
      <c r="B21" s="20" t="s">
        <v>685</v>
      </c>
      <c r="C21" s="19" t="s">
        <v>686</v>
      </c>
      <c r="D21" s="20" t="s">
        <v>687</v>
      </c>
      <c r="E21" s="19" t="str">
        <f aca="false">IFERROR(INDEX('Feature Log'!$C$4:$C$32,MATCH(VALUE(LEFT(C21,FIND(",",C21&amp;",")-1)),'Feature Log'!$A$4:$A$32,0)),"")</f>
        <v>En desarrollo</v>
      </c>
    </row>
    <row r="22" customFormat="false" ht="15" hidden="false" customHeight="false" outlineLevel="0" collapsed="false">
      <c r="A22" s="19" t="s">
        <v>688</v>
      </c>
      <c r="B22" s="20" t="s">
        <v>689</v>
      </c>
      <c r="C22" s="19" t="s">
        <v>690</v>
      </c>
      <c r="D22" s="20" t="s">
        <v>691</v>
      </c>
      <c r="E22" s="19" t="str">
        <f aca="false">IFERROR(INDEX('Feature Log'!$C$4:$C$32,MATCH(VALUE(LEFT(C22,FIND(",",C22&amp;",")-1)),'Feature Log'!$A$4:$A$32,0)),"")</f>
        <v>En desarrollo</v>
      </c>
    </row>
    <row r="23" customFormat="false" ht="15" hidden="false" customHeight="false" outlineLevel="0" collapsed="false">
      <c r="A23" s="19" t="s">
        <v>692</v>
      </c>
      <c r="B23" s="20" t="s">
        <v>693</v>
      </c>
      <c r="C23" s="19" t="s">
        <v>694</v>
      </c>
      <c r="D23" s="20" t="s">
        <v>695</v>
      </c>
      <c r="E23" s="19" t="str">
        <f aca="false">IFERROR(INDEX('Feature Log'!$C$4:$C$32,MATCH(VALUE(LEFT(C23,FIND(",",C23&amp;",")-1)),'Feature Log'!$A$4:$A$32,0)),"")</f>
        <v>Terminado</v>
      </c>
    </row>
    <row r="24" customFormat="false" ht="15" hidden="false" customHeight="false" outlineLevel="0" collapsed="false">
      <c r="A24" s="19" t="s">
        <v>688</v>
      </c>
      <c r="B24" s="20" t="s">
        <v>696</v>
      </c>
      <c r="C24" s="19" t="s">
        <v>697</v>
      </c>
      <c r="D24" s="20" t="s">
        <v>698</v>
      </c>
      <c r="E24" s="19" t="str">
        <f aca="false">IFERROR(INDEX('Feature Log'!$C$4:$C$32,MATCH(VALUE(LEFT(C24,FIND(",",C24&amp;",")-1)),'Feature Log'!$A$4:$A$32,0)),"")</f>
        <v>Terminado</v>
      </c>
    </row>
  </sheetData>
  <mergeCells count="2">
    <mergeCell ref="A1:E1"/>
    <mergeCell ref="A2:E2"/>
  </mergeCells>
  <conditionalFormatting sqref="E4:E24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20" min="7" style="0" width="4.2"/>
  </cols>
  <sheetData>
    <row r="1" customFormat="false" ht="17.35" hidden="false" customHeight="false" outlineLevel="0" collapsed="false">
      <c r="A1" s="29" t="s">
        <v>699</v>
      </c>
    </row>
    <row r="2" customFormat="false" ht="15" hidden="false" customHeight="false" outlineLevel="0" collapsed="false">
      <c r="A2" s="23" t="s">
        <v>700</v>
      </c>
    </row>
    <row r="3" customFormat="false" ht="15" hidden="false" customHeight="false" outlineLevel="0" collapsed="false">
      <c r="G3" s="33" t="s">
        <v>701</v>
      </c>
      <c r="H3" s="33" t="s">
        <v>702</v>
      </c>
      <c r="I3" s="33"/>
      <c r="J3" s="33"/>
      <c r="K3" s="33"/>
      <c r="L3" s="33" t="s">
        <v>703</v>
      </c>
      <c r="M3" s="33"/>
      <c r="N3" s="33"/>
      <c r="O3" s="33"/>
      <c r="P3" s="33" t="s">
        <v>704</v>
      </c>
      <c r="Q3" s="33"/>
      <c r="R3" s="33"/>
      <c r="S3" s="33"/>
      <c r="T3" s="33"/>
    </row>
    <row r="4" customFormat="false" ht="15" hidden="false" customHeight="false" outlineLevel="0" collapsed="false">
      <c r="A4" s="18" t="s">
        <v>22</v>
      </c>
      <c r="B4" s="18" t="s">
        <v>705</v>
      </c>
      <c r="C4" s="18" t="s">
        <v>23</v>
      </c>
      <c r="D4" s="18" t="s">
        <v>24</v>
      </c>
      <c r="E4" s="18" t="s">
        <v>67</v>
      </c>
      <c r="F4" s="18" t="s">
        <v>25</v>
      </c>
      <c r="G4" s="34" t="n">
        <v>46265</v>
      </c>
      <c r="H4" s="34" t="n">
        <v>46272</v>
      </c>
      <c r="I4" s="34" t="n">
        <v>46279</v>
      </c>
      <c r="J4" s="34" t="n">
        <v>46286</v>
      </c>
      <c r="K4" s="34" t="n">
        <v>46293</v>
      </c>
      <c r="L4" s="34" t="n">
        <v>46300</v>
      </c>
      <c r="M4" s="34" t="n">
        <v>46307</v>
      </c>
      <c r="N4" s="34" t="n">
        <v>46314</v>
      </c>
      <c r="O4" s="34" t="n">
        <v>46321</v>
      </c>
      <c r="P4" s="34" t="n">
        <v>46328</v>
      </c>
      <c r="Q4" s="34" t="n">
        <v>46335</v>
      </c>
      <c r="R4" s="34" t="n">
        <v>46342</v>
      </c>
      <c r="S4" s="34" t="n">
        <v>46349</v>
      </c>
      <c r="T4" s="34" t="n">
        <v>46356</v>
      </c>
    </row>
    <row r="5" customFormat="false" ht="15" hidden="false" customHeight="false" outlineLevel="0" collapsed="false">
      <c r="A5" s="19" t="s">
        <v>29</v>
      </c>
      <c r="B5" s="20" t="s">
        <v>706</v>
      </c>
      <c r="C5" s="35" t="n">
        <v>46266</v>
      </c>
      <c r="D5" s="35" t="n">
        <v>46283</v>
      </c>
      <c r="E5" s="19" t="n">
        <f aca="false">D5-C5+1</f>
        <v>18</v>
      </c>
      <c r="F5" s="19" t="s">
        <v>71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customFormat="false" ht="15" hidden="false" customHeight="false" outlineLevel="0" collapsed="false">
      <c r="A6" s="19" t="s">
        <v>29</v>
      </c>
      <c r="B6" s="20" t="s">
        <v>707</v>
      </c>
      <c r="C6" s="35" t="n">
        <v>46266</v>
      </c>
      <c r="D6" s="35" t="n">
        <v>46283</v>
      </c>
      <c r="E6" s="19" t="n">
        <f aca="false">D6-C6+1</f>
        <v>18</v>
      </c>
      <c r="F6" s="19" t="s">
        <v>71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customFormat="false" ht="15" hidden="false" customHeight="false" outlineLevel="0" collapsed="false">
      <c r="A7" s="19" t="s">
        <v>29</v>
      </c>
      <c r="B7" s="20" t="s">
        <v>708</v>
      </c>
      <c r="C7" s="35" t="n">
        <v>46283</v>
      </c>
      <c r="D7" s="35" t="n">
        <v>46283</v>
      </c>
      <c r="E7" s="19" t="n">
        <f aca="false">D7-C7+1</f>
        <v>1</v>
      </c>
      <c r="F7" s="19" t="s">
        <v>71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</row>
    <row r="8" customFormat="false" ht="15" hidden="false" customHeight="false" outlineLevel="0" collapsed="false">
      <c r="A8" s="19" t="s">
        <v>30</v>
      </c>
      <c r="B8" s="20" t="s">
        <v>709</v>
      </c>
      <c r="C8" s="35" t="n">
        <v>46284</v>
      </c>
      <c r="D8" s="35" t="n">
        <v>46295</v>
      </c>
      <c r="E8" s="19" t="n">
        <f aca="false">D8-C8+1</f>
        <v>12</v>
      </c>
      <c r="F8" s="19" t="s">
        <v>71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</row>
    <row r="9" customFormat="false" ht="15" hidden="false" customHeight="false" outlineLevel="0" collapsed="false">
      <c r="A9" s="19" t="s">
        <v>30</v>
      </c>
      <c r="B9" s="20" t="s">
        <v>710</v>
      </c>
      <c r="C9" s="35" t="n">
        <v>46296</v>
      </c>
      <c r="D9" s="35" t="n">
        <v>46299</v>
      </c>
      <c r="E9" s="19" t="n">
        <f aca="false">D9-C9+1</f>
        <v>4</v>
      </c>
      <c r="F9" s="19" t="s">
        <v>71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customFormat="false" ht="15" hidden="false" customHeight="false" outlineLevel="0" collapsed="false">
      <c r="A10" s="19" t="s">
        <v>30</v>
      </c>
      <c r="B10" s="20" t="s">
        <v>711</v>
      </c>
      <c r="C10" s="35" t="n">
        <v>46300</v>
      </c>
      <c r="D10" s="35" t="n">
        <v>46300</v>
      </c>
      <c r="E10" s="19" t="n">
        <f aca="false">D10-C10+1</f>
        <v>1</v>
      </c>
      <c r="F10" s="19" t="s">
        <v>71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customFormat="false" ht="28.35" hidden="false" customHeight="false" outlineLevel="0" collapsed="false">
      <c r="A11" s="19" t="s">
        <v>30</v>
      </c>
      <c r="B11" s="20" t="s">
        <v>712</v>
      </c>
      <c r="C11" s="35" t="n">
        <v>46302</v>
      </c>
      <c r="D11" s="35" t="n">
        <v>46308</v>
      </c>
      <c r="E11" s="19" t="n">
        <f aca="false">D11-C11+1</f>
        <v>7</v>
      </c>
      <c r="F11" s="19" t="s">
        <v>71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customFormat="false" ht="15" hidden="false" customHeight="false" outlineLevel="0" collapsed="false">
      <c r="A12" s="19" t="s">
        <v>30</v>
      </c>
      <c r="B12" s="20" t="s">
        <v>53</v>
      </c>
      <c r="C12" s="35" t="n">
        <v>46302</v>
      </c>
      <c r="D12" s="35" t="n">
        <v>46325</v>
      </c>
      <c r="E12" s="19" t="n">
        <f aca="false">D12-C12+1</f>
        <v>24</v>
      </c>
      <c r="F12" s="19" t="s">
        <v>97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customFormat="false" ht="28.35" hidden="false" customHeight="false" outlineLevel="0" collapsed="false">
      <c r="A13" s="19" t="s">
        <v>30</v>
      </c>
      <c r="B13" s="20" t="s">
        <v>713</v>
      </c>
      <c r="C13" s="35" t="n">
        <v>46310</v>
      </c>
      <c r="D13" s="35" t="n">
        <v>46316</v>
      </c>
      <c r="E13" s="19" t="n">
        <f aca="false">D13-C13+1</f>
        <v>7</v>
      </c>
      <c r="F13" s="19" t="s">
        <v>71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customFormat="false" ht="28.35" hidden="false" customHeight="false" outlineLevel="0" collapsed="false">
      <c r="A14" s="19" t="s">
        <v>30</v>
      </c>
      <c r="B14" s="20" t="s">
        <v>714</v>
      </c>
      <c r="C14" s="35" t="n">
        <v>46317</v>
      </c>
      <c r="D14" s="35" t="n">
        <v>46318</v>
      </c>
      <c r="E14" s="19" t="n">
        <f aca="false">D14-C14+1</f>
        <v>2</v>
      </c>
      <c r="F14" s="19" t="s">
        <v>71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customFormat="false" ht="15" hidden="false" customHeight="false" outlineLevel="0" collapsed="false">
      <c r="A15" s="19" t="s">
        <v>30</v>
      </c>
      <c r="B15" s="20" t="s">
        <v>715</v>
      </c>
      <c r="C15" s="35" t="n">
        <v>46321</v>
      </c>
      <c r="D15" s="35" t="n">
        <v>46322</v>
      </c>
      <c r="E15" s="19" t="n">
        <f aca="false">D15-C15+1</f>
        <v>2</v>
      </c>
      <c r="F15" s="19" t="s">
        <v>139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customFormat="false" ht="15" hidden="false" customHeight="false" outlineLevel="0" collapsed="false">
      <c r="A16" s="19" t="s">
        <v>30</v>
      </c>
      <c r="B16" s="20" t="s">
        <v>716</v>
      </c>
      <c r="C16" s="35" t="n">
        <v>46323</v>
      </c>
      <c r="D16" s="35" t="n">
        <v>46323</v>
      </c>
      <c r="E16" s="19" t="n">
        <f aca="false">D16-C16+1</f>
        <v>1</v>
      </c>
      <c r="F16" s="19" t="s">
        <v>139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</row>
    <row r="17" customFormat="false" ht="15" hidden="false" customHeight="false" outlineLevel="0" collapsed="false">
      <c r="A17" s="19" t="s">
        <v>30</v>
      </c>
      <c r="B17" s="20" t="s">
        <v>717</v>
      </c>
      <c r="C17" s="35" t="n">
        <v>46325</v>
      </c>
      <c r="D17" s="35" t="n">
        <v>46325</v>
      </c>
      <c r="E17" s="19" t="n">
        <f aca="false">D17-C17+1</f>
        <v>1</v>
      </c>
      <c r="F17" s="19" t="s">
        <v>139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</row>
    <row r="18" customFormat="false" ht="15" hidden="false" customHeight="false" outlineLevel="0" collapsed="false">
      <c r="A18" s="19" t="s">
        <v>31</v>
      </c>
      <c r="B18" s="20" t="s">
        <v>718</v>
      </c>
      <c r="C18" s="35" t="n">
        <v>46326</v>
      </c>
      <c r="D18" s="35" t="n">
        <v>46329</v>
      </c>
      <c r="E18" s="19" t="n">
        <f aca="false">D18-C18+1</f>
        <v>4</v>
      </c>
      <c r="F18" s="19" t="s">
        <v>139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</row>
    <row r="19" customFormat="false" ht="15" hidden="false" customHeight="false" outlineLevel="0" collapsed="false">
      <c r="A19" s="19" t="s">
        <v>31</v>
      </c>
      <c r="B19" s="20" t="s">
        <v>719</v>
      </c>
      <c r="C19" s="35" t="n">
        <v>46329</v>
      </c>
      <c r="D19" s="35" t="n">
        <v>46343</v>
      </c>
      <c r="E19" s="19" t="n">
        <f aca="false">D19-C19+1</f>
        <v>15</v>
      </c>
      <c r="F19" s="19" t="s">
        <v>139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</row>
    <row r="20" customFormat="false" ht="15" hidden="false" customHeight="false" outlineLevel="0" collapsed="false">
      <c r="A20" s="19" t="s">
        <v>31</v>
      </c>
      <c r="B20" s="20" t="s">
        <v>720</v>
      </c>
      <c r="C20" s="35" t="n">
        <v>46315</v>
      </c>
      <c r="D20" s="35" t="n">
        <v>46346</v>
      </c>
      <c r="E20" s="19" t="n">
        <f aca="false">D20-C20+1</f>
        <v>32</v>
      </c>
      <c r="F20" s="19" t="s">
        <v>97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</row>
    <row r="21" customFormat="false" ht="15" hidden="false" customHeight="false" outlineLevel="0" collapsed="false">
      <c r="A21" s="19" t="s">
        <v>31</v>
      </c>
      <c r="B21" s="20" t="s">
        <v>721</v>
      </c>
      <c r="C21" s="35" t="n">
        <v>46346</v>
      </c>
      <c r="D21" s="35" t="n">
        <v>46346</v>
      </c>
      <c r="E21" s="19" t="n">
        <f aca="false">D21-C21+1</f>
        <v>1</v>
      </c>
      <c r="F21" s="19" t="s">
        <v>139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</row>
    <row r="22" customFormat="false" ht="15" hidden="false" customHeight="false" outlineLevel="0" collapsed="false">
      <c r="A22" s="19" t="s">
        <v>32</v>
      </c>
      <c r="B22" s="20" t="s">
        <v>722</v>
      </c>
      <c r="C22" s="35" t="n">
        <v>46347</v>
      </c>
      <c r="D22" s="35" t="n">
        <v>46353</v>
      </c>
      <c r="E22" s="19" t="n">
        <f aca="false">D22-C22+1</f>
        <v>7</v>
      </c>
      <c r="F22" s="19" t="s">
        <v>139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customFormat="false" ht="15" hidden="false" customHeight="false" outlineLevel="0" collapsed="false">
      <c r="A23" s="19" t="s">
        <v>32</v>
      </c>
      <c r="B23" s="20" t="s">
        <v>723</v>
      </c>
      <c r="C23" s="35" t="n">
        <v>46347</v>
      </c>
      <c r="D23" s="35" t="n">
        <v>46355</v>
      </c>
      <c r="E23" s="19" t="n">
        <f aca="false">D23-C23+1</f>
        <v>9</v>
      </c>
      <c r="F23" s="19" t="s">
        <v>139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customFormat="false" ht="28.35" hidden="false" customHeight="false" outlineLevel="0" collapsed="false">
      <c r="A24" s="19" t="s">
        <v>32</v>
      </c>
      <c r="B24" s="20" t="s">
        <v>724</v>
      </c>
      <c r="C24" s="35" t="n">
        <v>46356</v>
      </c>
      <c r="D24" s="35" t="n">
        <v>46356</v>
      </c>
      <c r="E24" s="19" t="n">
        <f aca="false">D24-C24+1</f>
        <v>1</v>
      </c>
      <c r="F24" s="19" t="s">
        <v>139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</sheetData>
  <conditionalFormatting sqref="G5:T24">
    <cfRule type="expression" priority="2" aboveAverage="0" equalAverage="0" bottom="0" percent="0" rank="0" text="" dxfId="11">
      <formula>AND(AND(G$4&lt;=$D5,G$4+6&gt;=$C5),$F5="Terminado")</formula>
    </cfRule>
    <cfRule type="expression" priority="3" aboveAverage="0" equalAverage="0" bottom="0" percent="0" rank="0" text="" dxfId="12">
      <formula>AND(AND(G$4&lt;=$D5,G$4+6&gt;=$C5),$F5="En desarrollo")</formula>
    </cfRule>
    <cfRule type="expression" priority="4" aboveAverage="0" equalAverage="0" bottom="0" percent="0" rank="0" text="" dxfId="13">
      <formula>AND(AND(G$4&lt;=$D5,G$4+6&gt;=$C5),$F5="Planeado")</formula>
    </cfRule>
  </conditionalFormatting>
  <conditionalFormatting sqref="G4:T4">
    <cfRule type="expression" priority="5" aboveAverage="0" equalAverage="0" bottom="0" percent="0" rank="0" text="" dxfId="14">
      <formula>AND(TODAY()&gt;=G$4,TODAY()&lt;=G$4+6)</formula>
    </cfRule>
  </conditionalFormatting>
  <conditionalFormatting sqref="F5:F24">
    <cfRule type="cellIs" priority="6" operator="equal" aboveAverage="0" equalAverage="0" bottom="0" percent="0" rank="0" text="" dxfId="0">
      <formula>"Terminado"</formula>
    </cfRule>
    <cfRule type="cellIs" priority="7" operator="equal" aboveAverage="0" equalAverage="0" bottom="0" percent="0" rank="0" text="" dxfId="1">
      <formula>"En desarrollo"</formula>
    </cfRule>
    <cfRule type="cellIs" priority="8" operator="equal" aboveAverage="0" equalAverage="0" bottom="0" percent="0" rank="0" text="" dxfId="2">
      <formula>"Planeado"</formula>
    </cfRule>
    <cfRule type="cellIs" priority="9" operator="equal" aboveAverage="0" equalAverage="0" bottom="0" percent="0" rank="0" text="" dxfId="0">
      <formula>"Corregido"</formula>
    </cfRule>
    <cfRule type="cellIs" priority="10" operator="equal" aboveAverage="0" equalAverage="0" bottom="0" percent="0" rank="0" text="" dxfId="0">
      <formula>"Aprobada"</formula>
    </cfRule>
    <cfRule type="cellIs" priority="11" operator="equal" aboveAverage="0" equalAverage="0" bottom="0" percent="0" rank="0" text="" dxfId="1">
      <formula>"Por verificar"</formula>
    </cfRule>
    <cfRule type="cellIs" priority="12" operator="equal" aboveAverage="0" equalAverage="0" bottom="0" percent="0" rank="0" text="" dxfId="1">
      <formula>"Pendiente"</formula>
    </cfRule>
    <cfRule type="cellIs" priority="13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5:F24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40"/>
  </cols>
  <sheetData>
    <row r="1" customFormat="false" ht="17.35" hidden="false" customHeight="false" outlineLevel="0" collapsed="false">
      <c r="A1" s="16" t="s">
        <v>725</v>
      </c>
      <c r="B1" s="16"/>
      <c r="C1" s="16"/>
      <c r="D1" s="16"/>
      <c r="E1" s="16"/>
    </row>
    <row r="2" customFormat="false" ht="15" hidden="false" customHeight="false" outlineLevel="0" collapsed="false">
      <c r="A2" s="23" t="s">
        <v>726</v>
      </c>
    </row>
    <row r="3" customFormat="false" ht="15" hidden="false" customHeight="false" outlineLevel="0" collapsed="false">
      <c r="A3" s="30"/>
      <c r="B3" s="30" t="s">
        <v>29</v>
      </c>
      <c r="C3" s="30" t="s">
        <v>30</v>
      </c>
      <c r="D3" s="30" t="s">
        <v>31</v>
      </c>
      <c r="E3" s="30" t="s">
        <v>32</v>
      </c>
    </row>
    <row r="4" customFormat="false" ht="41.75" hidden="false" customHeight="false" outlineLevel="0" collapsed="false">
      <c r="A4" s="37" t="s">
        <v>727</v>
      </c>
      <c r="B4" s="20" t="s">
        <v>728</v>
      </c>
      <c r="C4" s="20" t="s">
        <v>729</v>
      </c>
      <c r="D4" s="20" t="s">
        <v>730</v>
      </c>
      <c r="E4" s="20" t="s">
        <v>731</v>
      </c>
    </row>
    <row r="5" customFormat="false" ht="15" hidden="false" customHeight="false" outlineLevel="0" collapsed="false">
      <c r="A5" s="37" t="s">
        <v>732</v>
      </c>
      <c r="B5" s="20" t="str">
        <f aca="false">'Sprint Backlog'!F88&amp;" de "&amp;'Sprint Backlog'!E88</f>
        <v>10 de 10</v>
      </c>
      <c r="C5" s="20" t="str">
        <f aca="false">'Sprint Backlog'!F89&amp;" de "&amp;'Sprint Backlog'!E89</f>
        <v>48 de 53</v>
      </c>
      <c r="D5" s="20" t="str">
        <f aca="false">'Sprint Backlog'!F90&amp;" de "&amp;'Sprint Backlog'!E90</f>
        <v>2 de 12</v>
      </c>
      <c r="E5" s="20" t="str">
        <f aca="false">'Sprint Backlog'!F91&amp;" de "&amp;'Sprint Backlog'!E91</f>
        <v>0 de 7</v>
      </c>
    </row>
    <row r="6" customFormat="false" ht="15" hidden="false" customHeight="false" outlineLevel="0" collapsed="false">
      <c r="A6" s="37" t="s">
        <v>318</v>
      </c>
      <c r="B6" s="20" t="str">
        <f aca="false">'Sprint Backlog'!H88&amp;" de "&amp;'Sprint Backlog'!G88&amp;" hrs"</f>
        <v>40 de 40 hrs</v>
      </c>
      <c r="C6" s="20" t="str">
        <f aca="false">'Sprint Backlog'!H89&amp;" de "&amp;'Sprint Backlog'!G89&amp;" hrs"</f>
        <v>195 de 207 hrs</v>
      </c>
      <c r="D6" s="20" t="str">
        <f aca="false">'Sprint Backlog'!H90&amp;" de "&amp;'Sprint Backlog'!G90&amp;" hrs"</f>
        <v>3 de 27 hrs</v>
      </c>
      <c r="E6" s="20" t="str">
        <f aca="false">'Sprint Backlog'!H91&amp;" de "&amp;'Sprint Backlog'!G91&amp;" hrs"</f>
        <v>0 de 14 hrs</v>
      </c>
    </row>
    <row r="7" customFormat="false" ht="15" hidden="false" customHeight="false" outlineLevel="0" collapsed="false">
      <c r="A7" s="37" t="s">
        <v>733</v>
      </c>
      <c r="B7" s="20" t="str">
        <f aca="false">COUNTIFS(Buglist!$A$4:$A$39,1,Buglist!$F$4:$F$39,"Corregido")&amp;" de "&amp;COUNTIFS(Buglist!$A$4:$A$39,1,Buglist!$C$4:$C$39,"&lt;&gt;")</f>
        <v>2 de 3</v>
      </c>
      <c r="C7" s="20" t="str">
        <f aca="false">COUNTIFS(Buglist!$A$4:$A$39,2,Buglist!$F$4:$F$39,"Corregido")&amp;" de "&amp;COUNTIFS(Buglist!$A$4:$A$39,2,Buglist!$C$4:$C$39,"&lt;&gt;")</f>
        <v>17 de 18</v>
      </c>
      <c r="D7" s="20" t="str">
        <f aca="false">COUNTIFS(Buglist!$A$4:$A$39,3,Buglist!$F$4:$F$39,"Corregido")&amp;" de "&amp;COUNTIFS(Buglist!$A$4:$A$39,3,Buglist!$C$4:$C$39,"&lt;&gt;")</f>
        <v>0 de 0</v>
      </c>
      <c r="E7" s="20" t="str">
        <f aca="false">COUNTIFS(Buglist!$A$4:$A$39,4,Buglist!$F$4:$F$39,"Corregido")&amp;" de "&amp;COUNTIFS(Buglist!$A$4:$A$39,4,Buglist!$C$4:$C$39,"&lt;&gt;")</f>
        <v>0 de 0</v>
      </c>
    </row>
    <row r="8" customFormat="false" ht="28.35" hidden="false" customHeight="false" outlineLevel="0" collapsed="false">
      <c r="A8" s="37" t="s">
        <v>734</v>
      </c>
      <c r="B8" s="20" t="s">
        <v>735</v>
      </c>
      <c r="C8" s="20" t="str">
        <f aca="false">"Pruebas Alfa aprobadas: "&amp;COUNTIF('Pruebas Alfa'!$G$4:$G$20,"Aprobada")&amp;" de "&amp;COUNTA('Pruebas Alfa'!$A$4:$A$20)&amp;". Evaluación Beta en clase (28 oct): "&amp;IF('Evaluación Beta'!G12="","pendiente",'Evaluación Beta'!G12&amp;" puntos")</f>
        <v>Pruebas Alfa aprobadas: 10 de 17. Evaluación Beta en clase (28 oct): pendiente</v>
      </c>
      <c r="D8" s="20" t="s">
        <v>736</v>
      </c>
      <c r="E8" s="20" t="s">
        <v>737</v>
      </c>
    </row>
    <row r="9" customFormat="false" ht="60" hidden="false" customHeight="true" outlineLevel="0" collapsed="false">
      <c r="A9" s="37" t="s">
        <v>738</v>
      </c>
      <c r="B9" s="20" t="s">
        <v>739</v>
      </c>
      <c r="C9" s="20" t="s">
        <v>740</v>
      </c>
      <c r="D9" s="20"/>
      <c r="E9" s="20"/>
    </row>
    <row r="10" customFormat="false" ht="60" hidden="false" customHeight="true" outlineLevel="0" collapsed="false">
      <c r="A10" s="37" t="s">
        <v>741</v>
      </c>
      <c r="B10" s="20" t="s">
        <v>742</v>
      </c>
      <c r="C10" s="20" t="s">
        <v>743</v>
      </c>
      <c r="D10" s="20"/>
      <c r="E10" s="20"/>
    </row>
    <row r="11" customFormat="false" ht="60" hidden="false" customHeight="true" outlineLevel="0" collapsed="false">
      <c r="A11" s="37" t="s">
        <v>744</v>
      </c>
      <c r="B11" s="20" t="s">
        <v>745</v>
      </c>
      <c r="C11" s="20" t="s">
        <v>746</v>
      </c>
      <c r="D11" s="20"/>
      <c r="E11" s="20"/>
    </row>
    <row r="12" customFormat="false" ht="60" hidden="false" customHeight="true" outlineLevel="0" collapsed="false">
      <c r="A12" s="37" t="s">
        <v>747</v>
      </c>
      <c r="B12" s="20" t="s">
        <v>748</v>
      </c>
      <c r="C12" s="20" t="s">
        <v>749</v>
      </c>
      <c r="D12" s="20"/>
      <c r="E12" s="20"/>
    </row>
    <row r="13" customFormat="false" ht="15" hidden="false" customHeight="false" outlineLevel="0" collapsed="false">
      <c r="A13" s="37" t="s">
        <v>750</v>
      </c>
      <c r="B13" s="20" t="s">
        <v>751</v>
      </c>
      <c r="C13" s="20" t="s">
        <v>752</v>
      </c>
      <c r="D13" s="20" t="s">
        <v>753</v>
      </c>
      <c r="E13" s="20" t="s">
        <v>754</v>
      </c>
    </row>
  </sheetData>
  <mergeCells count="1">
    <mergeCell ref="A1:E1"/>
  </mergeCells>
  <printOptions headings="false" gridLines="false" gridLinesSet="true" horizontalCentered="false" verticalCentered="false"/>
  <pageMargins left="0.5" right="0.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Ecos del Grimorio - Alejandro Pérez Alcántara&amp;R&amp;9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2026-10-23T23:54:39Z</dcterms:created>
  <dc:creator>Alejandro Pérez Alcántara</dc:creator>
  <dc:description/>
  <dc:language>es-MX</dc:language>
  <cp:lastModifiedBy>Alejandro Pérez Alcántara</cp:lastModifiedBy>
  <dcterms:modified xsi:type="dcterms:W3CDTF">2026-10-23T17:54:41Z</dcterms:modified>
  <cp:revision>1</cp:revision>
  <dc:subject/>
  <dc:title>Producción Ecos del Grimorio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